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\Documents\Projetos\projeto_plataforma_integrada\data\"/>
    </mc:Choice>
  </mc:AlternateContent>
  <xr:revisionPtr revIDLastSave="0" documentId="13_ncr:1_{DF2563D0-2FD1-4F7C-B197-64574D4DA000}" xr6:coauthVersionLast="47" xr6:coauthVersionMax="47" xr10:uidLastSave="{00000000-0000-0000-0000-000000000000}"/>
  <bookViews>
    <workbookView xWindow="-108" yWindow="-108" windowWidth="23256" windowHeight="12456" activeTab="1" xr2:uid="{931405CC-2BDB-4BD4-BBBF-3C462A908592}"/>
  </bookViews>
  <sheets>
    <sheet name="Planilha1" sheetId="1" r:id="rId1"/>
    <sheet name="Planilh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F8" i="2"/>
  <c r="A8" i="2"/>
  <c r="I9" i="2" s="1"/>
  <c r="I11" i="2" s="1"/>
  <c r="A4" i="2"/>
  <c r="A6" i="2"/>
  <c r="A3" i="2"/>
  <c r="A2" i="2"/>
  <c r="A5" i="2" s="1"/>
  <c r="A6" i="1"/>
  <c r="A13" i="1"/>
  <c r="A11" i="1"/>
  <c r="A10" i="1"/>
  <c r="A9" i="1"/>
  <c r="A8" i="1"/>
  <c r="I16" i="1"/>
  <c r="I17" i="1" s="1"/>
  <c r="I15" i="1"/>
  <c r="A2" i="1"/>
  <c r="A3" i="1"/>
  <c r="A4" i="1"/>
  <c r="A9" i="2" l="1"/>
  <c r="A7" i="2"/>
  <c r="A10" i="2" s="1"/>
  <c r="A5" i="1"/>
  <c r="A7" i="1" s="1"/>
  <c r="A13" i="2" l="1"/>
  <c r="A11" i="2"/>
  <c r="D8" i="1"/>
  <c r="F7" i="2" l="1"/>
  <c r="F9" i="2" s="1"/>
  <c r="E8" i="2" s="1"/>
  <c r="E9" i="2" s="1"/>
  <c r="F7" i="1"/>
  <c r="F8" i="1"/>
  <c r="F9" i="1" l="1"/>
  <c r="E8" i="1" s="1"/>
  <c r="E9" i="1" s="1"/>
</calcChain>
</file>

<file path=xl/sharedStrings.xml><?xml version="1.0" encoding="utf-8"?>
<sst xmlns="http://schemas.openxmlformats.org/spreadsheetml/2006/main" count="32" uniqueCount="19">
  <si>
    <t>Custo com impostos</t>
  </si>
  <si>
    <t>ICMS ENTRADA</t>
  </si>
  <si>
    <t>Custo Liquido</t>
  </si>
  <si>
    <t>Margem Cont Custo Fixo</t>
  </si>
  <si>
    <t>Custo Total sem Ipostos</t>
  </si>
  <si>
    <t>Pis Cofins</t>
  </si>
  <si>
    <t>ICMS</t>
  </si>
  <si>
    <t>IRPJ</t>
  </si>
  <si>
    <t>CSLL</t>
  </si>
  <si>
    <t>PIS ENTRADA</t>
  </si>
  <si>
    <t>Cofins ENTRADA</t>
  </si>
  <si>
    <t>Margem de Lucro Bruta Pretendida</t>
  </si>
  <si>
    <t>ST</t>
  </si>
  <si>
    <t>S</t>
  </si>
  <si>
    <t>N</t>
  </si>
  <si>
    <t>Cofins Saida</t>
  </si>
  <si>
    <t>Pis Saida</t>
  </si>
  <si>
    <t>ICMS Saida</t>
  </si>
  <si>
    <t>Senha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</si>
</sst>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4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2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1" applyNumberFormat="1" applyFont="1"/>
    <xf numFmtId="9" fontId="0" fillId="3" borderId="0" xfId="0" applyNumberFormat="1" applyFill="1" applyAlignment="1">
      <alignment horizontal="center"/>
    </xf>
    <xf numFmtId="10" fontId="0" fillId="2" borderId="0" xfId="0" applyNumberForma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6D89-1C43-4295-8E13-9C35E6DEF10A}">
  <dimension ref="A1:I17"/>
  <sheetViews>
    <sheetView workbookViewId="0">
      <selection activeCell="D17" sqref="D17"/>
    </sheetView>
  </sheetViews>
  <sheetFormatPr defaultRowHeight="14.4" x14ac:dyDescent="0.3"/>
  <cols>
    <col min="2" max="2" width="31.88671875" bestFit="1" customWidth="1"/>
  </cols>
  <sheetData>
    <row r="1" spans="1:9" x14ac:dyDescent="0.3">
      <c r="A1" s="5">
        <v>210</v>
      </c>
      <c r="B1" t="s">
        <v>0</v>
      </c>
      <c r="D1" t="s">
        <v>12</v>
      </c>
      <c r="E1" t="s">
        <v>13</v>
      </c>
      <c r="F1" t="s">
        <v>14</v>
      </c>
    </row>
    <row r="2" spans="1:9" x14ac:dyDescent="0.3">
      <c r="A2" s="6">
        <f>$A$1*C2</f>
        <v>25.2</v>
      </c>
      <c r="B2" t="s">
        <v>1</v>
      </c>
      <c r="C2" s="8">
        <v>0.12</v>
      </c>
    </row>
    <row r="3" spans="1:9" x14ac:dyDescent="0.3">
      <c r="A3" s="6">
        <f t="shared" ref="A3:A4" si="0">$A$1*C3</f>
        <v>3.4650000000000003</v>
      </c>
      <c r="B3" t="s">
        <v>9</v>
      </c>
      <c r="C3" s="2">
        <v>1.6500000000000001E-2</v>
      </c>
    </row>
    <row r="4" spans="1:9" x14ac:dyDescent="0.3">
      <c r="A4" s="6">
        <f t="shared" si="0"/>
        <v>15.959999999999999</v>
      </c>
      <c r="B4" t="s">
        <v>10</v>
      </c>
      <c r="C4" s="2">
        <v>7.5999999999999998E-2</v>
      </c>
    </row>
    <row r="5" spans="1:9" x14ac:dyDescent="0.3">
      <c r="A5" s="6">
        <f>A1-A2-A3-A4</f>
        <v>165.375</v>
      </c>
      <c r="B5" t="s">
        <v>2</v>
      </c>
      <c r="C5" s="3"/>
    </row>
    <row r="6" spans="1:9" x14ac:dyDescent="0.3">
      <c r="A6" s="6">
        <f>C6*A1</f>
        <v>42</v>
      </c>
      <c r="B6" t="s">
        <v>3</v>
      </c>
      <c r="C6" s="4">
        <v>0.2</v>
      </c>
      <c r="D6" t="s">
        <v>18</v>
      </c>
    </row>
    <row r="7" spans="1:9" x14ac:dyDescent="0.3">
      <c r="A7" s="6">
        <f>A5+A6</f>
        <v>207.375</v>
      </c>
      <c r="B7" t="s">
        <v>4</v>
      </c>
      <c r="C7" s="3"/>
      <c r="F7" s="6">
        <f>D8*0.15</f>
        <v>7.7765624999999998</v>
      </c>
      <c r="G7" t="s">
        <v>7</v>
      </c>
    </row>
    <row r="8" spans="1:9" x14ac:dyDescent="0.3">
      <c r="A8" s="6">
        <f>A7/(1-C8)</f>
        <v>259.21875</v>
      </c>
      <c r="B8" t="s">
        <v>11</v>
      </c>
      <c r="C8" s="4">
        <v>0.2</v>
      </c>
      <c r="D8" s="1">
        <f>A8-A7</f>
        <v>51.84375</v>
      </c>
      <c r="E8" s="1">
        <f>D8-F9</f>
        <v>39.401250000000005</v>
      </c>
      <c r="F8" s="6">
        <f>D8*0.09</f>
        <v>4.6659375000000001</v>
      </c>
      <c r="G8" t="s">
        <v>8</v>
      </c>
    </row>
    <row r="9" spans="1:9" x14ac:dyDescent="0.3">
      <c r="A9" s="6">
        <f>(A8/(1-C9))-A8</f>
        <v>38.733836206896569</v>
      </c>
      <c r="B9" t="s">
        <v>6</v>
      </c>
      <c r="C9" s="8">
        <v>0.13</v>
      </c>
      <c r="E9" s="7">
        <f>E8/A9</f>
        <v>1.0172307692307689</v>
      </c>
      <c r="F9" s="6">
        <f>SUM(F7:F8)</f>
        <v>12.442499999999999</v>
      </c>
    </row>
    <row r="10" spans="1:9" x14ac:dyDescent="0.3">
      <c r="A10" s="6">
        <f>(A8/(1-C10))-A8</f>
        <v>26.421745867768607</v>
      </c>
      <c r="B10" t="s">
        <v>5</v>
      </c>
      <c r="C10" s="2">
        <v>9.2499999999999999E-2</v>
      </c>
    </row>
    <row r="11" spans="1:9" x14ac:dyDescent="0.3">
      <c r="A11" s="6">
        <f>A8+A9+A10</f>
        <v>324.37433207466518</v>
      </c>
    </row>
    <row r="12" spans="1:9" x14ac:dyDescent="0.3">
      <c r="A12" s="1"/>
    </row>
    <row r="13" spans="1:9" x14ac:dyDescent="0.3">
      <c r="A13" s="7">
        <f>A11/A1</f>
        <v>1.5446396765460246</v>
      </c>
      <c r="F13" s="1"/>
    </row>
    <row r="14" spans="1:9" x14ac:dyDescent="0.3">
      <c r="F14" s="1"/>
    </row>
    <row r="15" spans="1:9" x14ac:dyDescent="0.3">
      <c r="F15" s="1"/>
      <c r="I15">
        <f>236*0.07</f>
        <v>16.520000000000003</v>
      </c>
    </row>
    <row r="16" spans="1:9" x14ac:dyDescent="0.3">
      <c r="F16" s="1"/>
      <c r="I16" s="1">
        <f>A1-I15</f>
        <v>193.48</v>
      </c>
    </row>
    <row r="17" spans="6:9" x14ac:dyDescent="0.3">
      <c r="F17" s="1"/>
      <c r="I17">
        <f>I16/(1-0.27)</f>
        <v>265.04109589041093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AB59-BBCA-4B5F-AE14-A9ACD3DF7788}">
  <dimension ref="A1:I17"/>
  <sheetViews>
    <sheetView tabSelected="1" workbookViewId="0">
      <selection activeCell="D8" sqref="D8"/>
    </sheetView>
  </sheetViews>
  <sheetFormatPr defaultRowHeight="14.4" x14ac:dyDescent="0.3"/>
  <cols>
    <col min="2" max="2" width="31.88671875" bestFit="1" customWidth="1"/>
    <col min="3" max="3" width="9.109375" bestFit="1" customWidth="1"/>
  </cols>
  <sheetData>
    <row r="1" spans="1:9" x14ac:dyDescent="0.3">
      <c r="A1" s="5">
        <v>100</v>
      </c>
      <c r="B1" t="s">
        <v>0</v>
      </c>
      <c r="D1" t="s">
        <v>12</v>
      </c>
      <c r="E1" t="s">
        <v>13</v>
      </c>
      <c r="F1" t="s">
        <v>14</v>
      </c>
    </row>
    <row r="2" spans="1:9" x14ac:dyDescent="0.3">
      <c r="A2" s="6">
        <f>$A$1*C2</f>
        <v>12</v>
      </c>
      <c r="B2" t="s">
        <v>1</v>
      </c>
      <c r="C2" s="4">
        <v>0.12</v>
      </c>
    </row>
    <row r="3" spans="1:9" x14ac:dyDescent="0.3">
      <c r="A3" s="6">
        <f>$A$1*C3</f>
        <v>1.6500000000000001</v>
      </c>
      <c r="B3" t="s">
        <v>9</v>
      </c>
      <c r="C3" s="2">
        <v>1.6500000000000001E-2</v>
      </c>
    </row>
    <row r="4" spans="1:9" x14ac:dyDescent="0.3">
      <c r="A4" s="6">
        <f>$A$1*C4</f>
        <v>7.6</v>
      </c>
      <c r="B4" t="s">
        <v>10</v>
      </c>
      <c r="C4" s="2">
        <v>7.5999999999999998E-2</v>
      </c>
    </row>
    <row r="5" spans="1:9" x14ac:dyDescent="0.3">
      <c r="A5" s="6">
        <f>A1-A2-A3-A4</f>
        <v>78.75</v>
      </c>
      <c r="B5" t="s">
        <v>2</v>
      </c>
      <c r="C5" s="3"/>
    </row>
    <row r="6" spans="1:9" x14ac:dyDescent="0.3">
      <c r="A6" s="6">
        <f xml:space="preserve"> $A$5 * C6</f>
        <v>7.875</v>
      </c>
      <c r="B6" t="s">
        <v>3</v>
      </c>
      <c r="C6" s="9">
        <v>0.1</v>
      </c>
    </row>
    <row r="7" spans="1:9" x14ac:dyDescent="0.3">
      <c r="A7" s="6">
        <f>A5+A6</f>
        <v>86.625</v>
      </c>
      <c r="B7" t="s">
        <v>4</v>
      </c>
      <c r="C7" s="3"/>
      <c r="F7" s="6">
        <f>D8*0.15</f>
        <v>0.68388157894736923</v>
      </c>
      <c r="G7" t="s">
        <v>7</v>
      </c>
    </row>
    <row r="8" spans="1:9" x14ac:dyDescent="0.3">
      <c r="A8" s="6">
        <f>A7/(1-C8)</f>
        <v>91.184210526315795</v>
      </c>
      <c r="B8" t="s">
        <v>11</v>
      </c>
      <c r="C8" s="4">
        <v>0.05</v>
      </c>
      <c r="D8" s="1">
        <f>A8-A7</f>
        <v>4.5592105263157947</v>
      </c>
      <c r="E8" s="1">
        <f>D8-F9</f>
        <v>3.4650000000000039</v>
      </c>
      <c r="F8" s="6">
        <f>D8*0.09</f>
        <v>0.41032894736842151</v>
      </c>
      <c r="G8" t="s">
        <v>8</v>
      </c>
    </row>
    <row r="9" spans="1:9" x14ac:dyDescent="0.3">
      <c r="A9" s="6">
        <f>A8/(1-C9)</f>
        <v>92.71399138415434</v>
      </c>
      <c r="B9" t="s">
        <v>16</v>
      </c>
      <c r="C9" s="2">
        <v>1.6500000000000001E-2</v>
      </c>
      <c r="E9" s="7">
        <f>E8/A11</f>
        <v>3.0027149985000032E-2</v>
      </c>
      <c r="F9" s="6">
        <f>SUM(F7:F8)</f>
        <v>1.0942105263157909</v>
      </c>
      <c r="I9">
        <f>A8/(1-0.0925)</f>
        <v>100.47846889952154</v>
      </c>
    </row>
    <row r="10" spans="1:9" x14ac:dyDescent="0.3">
      <c r="A10" s="6">
        <f>A9/(1-C10)</f>
        <v>100.3941433504649</v>
      </c>
      <c r="B10" t="s">
        <v>15</v>
      </c>
      <c r="C10" s="2">
        <v>7.6499999999999999E-2</v>
      </c>
    </row>
    <row r="11" spans="1:9" x14ac:dyDescent="0.3">
      <c r="A11" s="6">
        <f>A10/(1-C11)</f>
        <v>115.39556706949989</v>
      </c>
      <c r="B11" t="s">
        <v>17</v>
      </c>
      <c r="C11" s="4">
        <v>0.13</v>
      </c>
      <c r="I11">
        <f>I9/(1-C11)</f>
        <v>115.4924929879558</v>
      </c>
    </row>
    <row r="12" spans="1:9" x14ac:dyDescent="0.3">
      <c r="A12" s="1"/>
    </row>
    <row r="13" spans="1:9" x14ac:dyDescent="0.3">
      <c r="A13" s="7">
        <f>A11/A1</f>
        <v>1.1539556706949989</v>
      </c>
      <c r="F13" s="1"/>
    </row>
    <row r="14" spans="1:9" x14ac:dyDescent="0.3">
      <c r="F14" s="1"/>
    </row>
    <row r="15" spans="1:9" x14ac:dyDescent="0.3">
      <c r="F15" s="1"/>
    </row>
    <row r="16" spans="1:9" x14ac:dyDescent="0.3">
      <c r="F16" s="1"/>
    </row>
    <row r="17" spans="6:6" x14ac:dyDescent="0.3">
      <c r="F1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Hennemann</dc:creator>
  <cp:lastModifiedBy>Alubrasa Aluminios</cp:lastModifiedBy>
  <dcterms:created xsi:type="dcterms:W3CDTF">2025-09-19T19:24:53Z</dcterms:created>
  <dcterms:modified xsi:type="dcterms:W3CDTF">2025-09-26T12:09:28Z</dcterms:modified>
</cp:coreProperties>
</file>