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Fernando\Documents\Projetos\projeto_plataforma_integrada\data\"/>
    </mc:Choice>
  </mc:AlternateContent>
  <xr:revisionPtr revIDLastSave="0" documentId="13_ncr:1_{7E210058-D7E0-426C-BABC-6B77C18924CB}" xr6:coauthVersionLast="47" xr6:coauthVersionMax="47" xr10:uidLastSave="{00000000-0000-0000-0000-000000000000}"/>
  <bookViews>
    <workbookView xWindow="-21720" yWindow="-60" windowWidth="21840" windowHeight="13020" xr2:uid="{8BA851F1-0E8A-435A-B7D7-C4284B68A16D}"/>
  </bookViews>
  <sheets>
    <sheet name="NCMS" sheetId="1" r:id="rId1"/>
    <sheet name="CFOP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2" l="1"/>
  <c r="E4" i="2"/>
  <c r="E5" i="2"/>
  <c r="E6" i="2"/>
  <c r="E7" i="2"/>
  <c r="E8" i="2"/>
  <c r="E9" i="2"/>
  <c r="E10" i="2"/>
  <c r="E11" i="2"/>
  <c r="E12" i="2"/>
  <c r="E13" i="2"/>
  <c r="E14" i="2"/>
  <c r="E15" i="2"/>
  <c r="E16" i="2"/>
  <c r="E17" i="2"/>
  <c r="E18" i="2"/>
  <c r="E19" i="2"/>
  <c r="E20" i="2"/>
  <c r="E21" i="2"/>
  <c r="E22" i="2"/>
  <c r="E23" i="2"/>
  <c r="E24" i="2"/>
  <c r="E25" i="2"/>
  <c r="E26" i="2"/>
  <c r="E27" i="2"/>
  <c r="E2" i="2"/>
</calcChain>
</file>

<file path=xl/sharedStrings.xml><?xml version="1.0" encoding="utf-8"?>
<sst xmlns="http://schemas.openxmlformats.org/spreadsheetml/2006/main" count="192" uniqueCount="108">
  <si>
    <t>29051220</t>
  </si>
  <si>
    <t>32141010</t>
  </si>
  <si>
    <t>35069190</t>
  </si>
  <si>
    <t>35069900</t>
  </si>
  <si>
    <t>29319029</t>
  </si>
  <si>
    <t>83026000</t>
  </si>
  <si>
    <t>76061290</t>
  </si>
  <si>
    <t>76042100</t>
  </si>
  <si>
    <t>76042920</t>
  </si>
  <si>
    <t>83082000</t>
  </si>
  <si>
    <t>58064000</t>
  </si>
  <si>
    <t>76061190</t>
  </si>
  <si>
    <t>40070019</t>
  </si>
  <si>
    <t>40082100</t>
  </si>
  <si>
    <t>39209910</t>
  </si>
  <si>
    <t>39259090</t>
  </si>
  <si>
    <t>73181500</t>
  </si>
  <si>
    <t>83024100</t>
  </si>
  <si>
    <t>83014000</t>
  </si>
  <si>
    <t>83021000</t>
  </si>
  <si>
    <t>83016000</t>
  </si>
  <si>
    <t>73181900</t>
  </si>
  <si>
    <t>39269090</t>
  </si>
  <si>
    <t>39161000</t>
  </si>
  <si>
    <t>39191020</t>
  </si>
  <si>
    <t>73181400</t>
  </si>
  <si>
    <t>59119000</t>
  </si>
  <si>
    <t>76109000</t>
  </si>
  <si>
    <t>39199020</t>
  </si>
  <si>
    <t>10.009.00</t>
  </si>
  <si>
    <t>10.016.00</t>
  </si>
  <si>
    <t>10.074.00</t>
  </si>
  <si>
    <t>10.075.00</t>
  </si>
  <si>
    <t>10.076.00</t>
  </si>
  <si>
    <t>10.058.00</t>
  </si>
  <si>
    <t>10.020.00</t>
  </si>
  <si>
    <t>10.005.00</t>
  </si>
  <si>
    <t>10.008.00</t>
  </si>
  <si>
    <t>01.107.00</t>
  </si>
  <si>
    <t>10.071.00</t>
  </si>
  <si>
    <t>10.018.00</t>
  </si>
  <si>
    <t>10.041.00</t>
  </si>
  <si>
    <t>10.062.00</t>
  </si>
  <si>
    <t>10.073.00</t>
  </si>
  <si>
    <t>10.010.00</t>
  </si>
  <si>
    <t>24.001.00</t>
  </si>
  <si>
    <t>000</t>
  </si>
  <si>
    <t>060</t>
  </si>
  <si>
    <t>ncm</t>
  </si>
  <si>
    <t>st</t>
  </si>
  <si>
    <t>cest</t>
  </si>
  <si>
    <t>cst</t>
  </si>
  <si>
    <t>aliquota</t>
  </si>
  <si>
    <t>Venda de mercadoria adquirida ou recebida de terceiros</t>
  </si>
  <si>
    <t>Venda interna normal</t>
  </si>
  <si>
    <t>Incidência normal de PIS, COFINS, ICMS</t>
  </si>
  <si>
    <t>Venda interestadual normal</t>
  </si>
  <si>
    <t>Venda de mercadoria adquirida ou recebida de terceiros, originada de encomenda para entrega futura</t>
  </si>
  <si>
    <t>Faz perte da operação de venda para entrega futura interna. Essa é a nota de remessa, que acompanha os produtos. Deve fazer referência à NF de simples faturamento (CFP 5922)</t>
  </si>
  <si>
    <t>Incide somente o ICMS</t>
  </si>
  <si>
    <t>Faz perte da operação de venda para entrega futura interestadual. Essa é a nota de remessa, que acompanha os produtos. Deve fazer referência à NF de simples faturamento (CFP 6922)</t>
  </si>
  <si>
    <t>Incide somente ICMS</t>
  </si>
  <si>
    <t>Venda de mercadoria adquirida ou recebida de terceiros remetida para industrialização, por conta e ordem do adquirente, sem transitar pelo estabelecimento do adquirente</t>
  </si>
  <si>
    <t>Faz parte da operação triangular interna. Essa nota é emitida para o cliente (geralmente obra), e também é responsável pelo faturamento.</t>
  </si>
  <si>
    <t>Faz parte da operação triangular interestadual. Essa nota é emitida para o cliente (geralmente obra), e também é responsável pelo faturamento.</t>
  </si>
  <si>
    <t>Devolução de compra para comercialização</t>
  </si>
  <si>
    <t>Emitda quando a empresa precisar devolver algum produto, oriundo de uma compra interna</t>
  </si>
  <si>
    <t>Incidência dos impostos de acordo com a nota de compra</t>
  </si>
  <si>
    <t>Emitda quando a empresa precisar devolver algum produto, oriundo de uma compra interestadual</t>
  </si>
  <si>
    <t>Venda de mercadoria adquirida ou recebida de terceiros em operação com mercadoria sujeita ao regime de substituição tributária, na condição de contribuinte substituído</t>
  </si>
  <si>
    <t>Venda interna de protudos que tenham ST. A substituição deverá ser de acordo com a aquisição</t>
  </si>
  <si>
    <t>Incidência normal de PIS e COFINS, mas sem o destaque de ICMS</t>
  </si>
  <si>
    <t>Devolução de compra para comercialização em operação com mercadoria sujeita ao regime de substituição tributária</t>
  </si>
  <si>
    <t>Emitda quando a empresa precisar devolver algum produto com ST, oriundo de uma compra interna</t>
  </si>
  <si>
    <t>Incidência normal de PIS e COFINS, mas sem o destaque de ICMS e de ST em campo próprio. Nesse caso, a Substituição tributária deverá ser destacada nos dados adicionais, conforme a nota de compra, devendo conter Base de Cálculo ST e Valor ST.</t>
  </si>
  <si>
    <t>Emitda quando a empresa precisar devolver algum produto com ST, oriundo de uma compra interestadual</t>
  </si>
  <si>
    <t>Remessa para industrialização por encomenda</t>
  </si>
  <si>
    <t>Deverá ser emitida para enviar algum produto para ser industrializado. Ficou acordado de utilizar este CFOP também nos casos em que houver necessidade de trocar algum produto que tenha ido errado para industrialização nos casos de operação triangular</t>
  </si>
  <si>
    <t>Sem incidência de impostos</t>
  </si>
  <si>
    <t>Remessa de bem por conta de contrato de comodato</t>
  </si>
  <si>
    <t>Nota emitida para as ocasiões em que ocorrer a operação de comodato, ou seja, ceder por empréstimo, por tempo determidado, algum bem móvel ou imóvel para terceiros</t>
  </si>
  <si>
    <t>Remessa em bonificação, doação ou brinde</t>
  </si>
  <si>
    <t>deverá ser emitida quando efetuar alguma bonificação, doação, ou brinde</t>
  </si>
  <si>
    <t>Incidência apenas do ICMS, sem PIS e COFINS</t>
  </si>
  <si>
    <t>Lançamento efetuado a título de simples faturamento decorrente de venda para entrega futura</t>
  </si>
  <si>
    <t>Faz perte da operação de venda para entrega futura interna. Essa é a nota de simples faturamento, emitida apenas para o recebimento antecipado da venda.</t>
  </si>
  <si>
    <t>Incide somente PIS e COFINS</t>
  </si>
  <si>
    <t>Faz perte da operação de venda para entrega futura interestadual. Essa é a nota de simples faturamento, emitida apenas para o recebimento antecipado da venda.</t>
  </si>
  <si>
    <t>Remessa para industrialização por conta e ordem do adquirente da mercadoria, quando esta não transitar pelo estabelecimento do adquirente</t>
  </si>
  <si>
    <t>Faz parte da operação triangular interna. Essa nota é emitida para o industrializador, para que seja feito o beneficiamento, e entregue ao cliente final</t>
  </si>
  <si>
    <t>Faz parte da operação triangular interestadual. Essa nota é emitida para o industrializador, para que seja feito o beneficiamento, e entregue ao cliente final</t>
  </si>
  <si>
    <t>Retorno de mercadoria recebida para industrialização por conta e ordem do adquirente da mercadoria, quando aquela não transitar pelo estabelecimento do adquirente</t>
  </si>
  <si>
    <t>Também faz parte da operação triangular, mas é utilizada para retornar uma mercadoria que foi para industrialização.</t>
  </si>
  <si>
    <t>Outra saída de mercadoria ou prestação de serviço não especificado</t>
  </si>
  <si>
    <t>Simples remessa interna. Pode ser usada em outras situações que não tem uma definição específica</t>
  </si>
  <si>
    <t>Simples remessa interestadual. Pode ser usada em outras situações que não tem uma definição específica</t>
  </si>
  <si>
    <t>Venda de produção do estabelecimento</t>
  </si>
  <si>
    <t>Venda interestadual normal, quando o produto for produzido pela própria empresa</t>
  </si>
  <si>
    <t>Venda de mercadoria adquirida ou recebida de terceiros, destinada a não contribuinte</t>
  </si>
  <si>
    <t>Venda interestadual para não contribuinte do ICMS</t>
  </si>
  <si>
    <t>Incidência normal de PIS, COFINS, ICMS, e do DIFAL</t>
  </si>
  <si>
    <t>Retorno de mercadoria ou bem recebido para demonstração</t>
  </si>
  <si>
    <t>Nota utilizada para retornar uma mercadoria que foi recebida para demostração</t>
  </si>
  <si>
    <t>cfop</t>
  </si>
  <si>
    <t>descricao</t>
  </si>
  <si>
    <t>operacao</t>
  </si>
  <si>
    <t>tributacao</t>
  </si>
  <si>
    <t>estado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</si>
</sst>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sz val="10"/>
      <color theme="1"/>
      <name val="Arial"/>
      <family val="2"/>
    </font>
    <font>
      <sz val="10"/>
      <color indexed="8"/>
      <name val="Arial"/>
      <family val="2"/>
    </font>
    <font>
      <sz val="10"/>
      <name val="Arial"/>
      <family val="2"/>
    </font>
    <font>
      <b/>
      <sz val="10"/>
      <color theme="1"/>
      <name val="Arial"/>
      <family val="2"/>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49" fontId="3" fillId="0" borderId="1" xfId="0" applyNumberFormat="1" applyFont="1" applyBorder="1" applyAlignment="1">
      <alignment horizontal="center" vertical="center" wrapText="1"/>
    </xf>
    <xf numFmtId="0" fontId="4" fillId="0" borderId="1" xfId="0" applyFont="1" applyBorder="1" applyAlignment="1">
      <alignment horizontal="center" vertical="center"/>
    </xf>
    <xf numFmtId="49" fontId="2" fillId="0" borderId="1" xfId="0" applyNumberFormat="1" applyFont="1" applyBorder="1" applyAlignment="1">
      <alignment horizontal="center" vertical="center"/>
    </xf>
    <xf numFmtId="0" fontId="2" fillId="0" borderId="1" xfId="0" applyFont="1" applyBorder="1" applyAlignment="1">
      <alignment horizontal="center"/>
    </xf>
    <xf numFmtId="0" fontId="4" fillId="0" borderId="1" xfId="0" applyFont="1" applyBorder="1" applyAlignment="1">
      <alignment horizontal="center"/>
    </xf>
    <xf numFmtId="0" fontId="5" fillId="2" borderId="1" xfId="0" applyFont="1" applyFill="1" applyBorder="1" applyAlignment="1">
      <alignment horizontal="center"/>
    </xf>
    <xf numFmtId="0" fontId="1" fillId="2" borderId="1" xfId="0" applyFont="1" applyFill="1" applyBorder="1" applyAlignment="1">
      <alignment horizontal="center"/>
    </xf>
    <xf numFmtId="0" fontId="1" fillId="2" borderId="1" xfId="0" applyFont="1" applyFill="1" applyBorder="1" applyAlignment="1">
      <alignment horizontal="center" vertical="center"/>
    </xf>
    <xf numFmtId="9" fontId="0" fillId="0" borderId="1" xfId="0" applyNumberFormat="1" applyBorder="1" applyAlignment="1">
      <alignment horizontal="center"/>
    </xf>
    <xf numFmtId="0" fontId="0" fillId="0" borderId="0" xfId="0" applyAlignment="1">
      <alignment horizontal="left"/>
    </xf>
    <xf numFmtId="0" fontId="0" fillId="0" borderId="1" xfId="0" applyNumberForma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396FD-5F3F-4DB5-91CA-233A218B0DBD}">
  <dimension ref="A1:E51"/>
  <sheetViews>
    <sheetView tabSelected="1" zoomScale="85" zoomScaleNormal="85" workbookViewId="0">
      <selection activeCell="D6" sqref="D6"/>
    </sheetView>
  </sheetViews>
  <sheetFormatPr defaultRowHeight="14.4" x14ac:dyDescent="0.3"/>
  <cols>
    <col min="1" max="1" width="9.21875" bestFit="1" customWidth="1"/>
    <col min="3" max="3" width="22.109375" customWidth="1"/>
    <col min="5" max="5" width="9.77734375" bestFit="1" customWidth="1"/>
  </cols>
  <sheetData>
    <row r="1" spans="1:5" x14ac:dyDescent="0.3">
      <c r="A1" s="8" t="s">
        <v>48</v>
      </c>
      <c r="B1" s="8" t="s">
        <v>49</v>
      </c>
      <c r="C1" s="6" t="s">
        <v>50</v>
      </c>
      <c r="D1" s="7" t="s">
        <v>51</v>
      </c>
      <c r="E1" s="7" t="s">
        <v>52</v>
      </c>
    </row>
    <row r="2" spans="1:5" x14ac:dyDescent="0.3">
      <c r="A2" s="1" t="s">
        <v>1</v>
      </c>
      <c r="B2" s="2">
        <v>0</v>
      </c>
      <c r="C2" s="5"/>
      <c r="D2" s="11" t="s">
        <v>46</v>
      </c>
      <c r="E2" s="9">
        <v>0.2</v>
      </c>
    </row>
    <row r="3" spans="1:5" x14ac:dyDescent="0.3">
      <c r="A3" s="1" t="s">
        <v>4</v>
      </c>
      <c r="B3" s="2">
        <v>0</v>
      </c>
      <c r="C3" s="5"/>
      <c r="D3" s="11" t="s">
        <v>46</v>
      </c>
      <c r="E3" s="9">
        <v>0.2</v>
      </c>
    </row>
    <row r="4" spans="1:5" x14ac:dyDescent="0.3">
      <c r="A4" s="1" t="s">
        <v>3</v>
      </c>
      <c r="B4" s="2">
        <v>0</v>
      </c>
      <c r="C4" s="5"/>
      <c r="D4" s="11" t="s">
        <v>46</v>
      </c>
      <c r="E4" s="9">
        <v>0.2</v>
      </c>
    </row>
    <row r="5" spans="1:5" x14ac:dyDescent="0.3">
      <c r="A5" s="1" t="s">
        <v>2</v>
      </c>
      <c r="B5" s="2">
        <v>0</v>
      </c>
      <c r="C5" s="5"/>
      <c r="D5" s="11" t="s">
        <v>46</v>
      </c>
      <c r="E5" s="9">
        <v>0.2</v>
      </c>
    </row>
    <row r="6" spans="1:5" x14ac:dyDescent="0.3">
      <c r="A6" s="1" t="s">
        <v>5</v>
      </c>
      <c r="B6" s="2">
        <v>0</v>
      </c>
      <c r="C6" s="5"/>
      <c r="D6" s="11" t="s">
        <v>46</v>
      </c>
      <c r="E6" s="9">
        <v>0.2</v>
      </c>
    </row>
    <row r="7" spans="1:5" x14ac:dyDescent="0.3">
      <c r="A7" s="1" t="s">
        <v>6</v>
      </c>
      <c r="B7" s="2">
        <v>0</v>
      </c>
      <c r="C7" s="5"/>
      <c r="D7" s="11" t="s">
        <v>46</v>
      </c>
      <c r="E7" s="9">
        <v>0.2</v>
      </c>
    </row>
    <row r="8" spans="1:5" x14ac:dyDescent="0.3">
      <c r="A8" s="1" t="s">
        <v>7</v>
      </c>
      <c r="B8" s="2">
        <v>0</v>
      </c>
      <c r="C8" s="5"/>
      <c r="D8" s="11" t="s">
        <v>46</v>
      </c>
      <c r="E8" s="9">
        <v>0.2</v>
      </c>
    </row>
    <row r="9" spans="1:5" x14ac:dyDescent="0.3">
      <c r="A9" s="1" t="s">
        <v>8</v>
      </c>
      <c r="B9" s="2">
        <v>0</v>
      </c>
      <c r="C9" s="5"/>
      <c r="D9" s="11" t="s">
        <v>46</v>
      </c>
      <c r="E9" s="9">
        <v>0.2</v>
      </c>
    </row>
    <row r="10" spans="1:5" x14ac:dyDescent="0.3">
      <c r="A10" s="1" t="s">
        <v>9</v>
      </c>
      <c r="B10" s="2">
        <v>0</v>
      </c>
      <c r="C10" s="5"/>
      <c r="D10" s="11" t="s">
        <v>46</v>
      </c>
      <c r="E10" s="9">
        <v>0.2</v>
      </c>
    </row>
    <row r="11" spans="1:5" x14ac:dyDescent="0.3">
      <c r="A11" s="1" t="s">
        <v>10</v>
      </c>
      <c r="B11" s="2">
        <v>0</v>
      </c>
      <c r="C11" s="5"/>
      <c r="D11" s="11" t="s">
        <v>46</v>
      </c>
      <c r="E11" s="9">
        <v>0.2</v>
      </c>
    </row>
    <row r="12" spans="1:5" x14ac:dyDescent="0.3">
      <c r="A12" s="1" t="s">
        <v>0</v>
      </c>
      <c r="B12" s="2">
        <v>0</v>
      </c>
      <c r="C12" s="5"/>
      <c r="D12" s="11" t="s">
        <v>46</v>
      </c>
      <c r="E12" s="9">
        <v>0.2</v>
      </c>
    </row>
    <row r="13" spans="1:5" x14ac:dyDescent="0.3">
      <c r="A13" s="1" t="s">
        <v>11</v>
      </c>
      <c r="B13" s="2">
        <v>0</v>
      </c>
      <c r="C13" s="5"/>
      <c r="D13" s="11" t="s">
        <v>46</v>
      </c>
      <c r="E13" s="9">
        <v>0.2</v>
      </c>
    </row>
    <row r="14" spans="1:5" x14ac:dyDescent="0.3">
      <c r="A14" s="1" t="s">
        <v>12</v>
      </c>
      <c r="B14" s="2">
        <v>0</v>
      </c>
      <c r="C14" s="5"/>
      <c r="D14" s="11" t="s">
        <v>46</v>
      </c>
      <c r="E14" s="9">
        <v>0.2</v>
      </c>
    </row>
    <row r="15" spans="1:5" x14ac:dyDescent="0.3">
      <c r="A15" s="3">
        <v>35061090</v>
      </c>
      <c r="B15" s="2">
        <v>0</v>
      </c>
      <c r="C15" s="5"/>
      <c r="D15" s="11" t="s">
        <v>46</v>
      </c>
      <c r="E15" s="9">
        <v>0.2</v>
      </c>
    </row>
    <row r="16" spans="1:5" x14ac:dyDescent="0.3">
      <c r="A16" s="3">
        <v>40021919</v>
      </c>
      <c r="B16" s="2">
        <v>0</v>
      </c>
      <c r="C16" s="5"/>
      <c r="D16" s="11" t="s">
        <v>46</v>
      </c>
      <c r="E16" s="9">
        <v>0.2</v>
      </c>
    </row>
    <row r="17" spans="1:5" x14ac:dyDescent="0.3">
      <c r="A17" s="3">
        <v>76041029</v>
      </c>
      <c r="B17" s="2">
        <v>0</v>
      </c>
      <c r="C17" s="5"/>
      <c r="D17" s="11" t="s">
        <v>46</v>
      </c>
      <c r="E17" s="9">
        <v>0.2</v>
      </c>
    </row>
    <row r="18" spans="1:5" x14ac:dyDescent="0.3">
      <c r="A18" s="3">
        <v>83022000</v>
      </c>
      <c r="B18" s="2">
        <v>0</v>
      </c>
      <c r="C18" s="5"/>
      <c r="D18" s="11" t="s">
        <v>46</v>
      </c>
      <c r="E18" s="9">
        <v>0.2</v>
      </c>
    </row>
    <row r="19" spans="1:5" x14ac:dyDescent="0.3">
      <c r="A19" s="3">
        <v>84485190</v>
      </c>
      <c r="B19" s="2">
        <v>0</v>
      </c>
      <c r="C19" s="5"/>
      <c r="D19" s="11" t="s">
        <v>46</v>
      </c>
      <c r="E19" s="9">
        <v>0.2</v>
      </c>
    </row>
    <row r="20" spans="1:5" x14ac:dyDescent="0.3">
      <c r="A20" s="3">
        <v>27150000</v>
      </c>
      <c r="B20" s="2">
        <v>0</v>
      </c>
      <c r="C20" s="4"/>
      <c r="D20" s="11" t="s">
        <v>46</v>
      </c>
      <c r="E20" s="9">
        <v>0.2</v>
      </c>
    </row>
    <row r="21" spans="1:5" x14ac:dyDescent="0.3">
      <c r="A21" s="3">
        <v>83024900</v>
      </c>
      <c r="B21" s="2">
        <v>0</v>
      </c>
      <c r="C21" s="4"/>
      <c r="D21" s="11" t="s">
        <v>46</v>
      </c>
      <c r="E21" s="9">
        <v>0.2</v>
      </c>
    </row>
    <row r="22" spans="1:5" x14ac:dyDescent="0.3">
      <c r="A22" s="3">
        <v>49019900</v>
      </c>
      <c r="B22" s="2">
        <v>0</v>
      </c>
      <c r="C22" s="4"/>
      <c r="D22" s="11" t="s">
        <v>46</v>
      </c>
      <c r="E22" s="9">
        <v>0.2</v>
      </c>
    </row>
    <row r="23" spans="1:5" x14ac:dyDescent="0.3">
      <c r="A23" s="3">
        <v>39071049</v>
      </c>
      <c r="B23" s="2">
        <v>0</v>
      </c>
      <c r="C23" s="4"/>
      <c r="D23" s="11" t="s">
        <v>46</v>
      </c>
      <c r="E23" s="9">
        <v>0.2</v>
      </c>
    </row>
    <row r="24" spans="1:5" x14ac:dyDescent="0.3">
      <c r="A24" s="3">
        <v>76042920</v>
      </c>
      <c r="B24" s="2">
        <v>0</v>
      </c>
      <c r="C24" s="4"/>
      <c r="D24" s="11" t="s">
        <v>46</v>
      </c>
      <c r="E24" s="9">
        <v>0.2</v>
      </c>
    </row>
    <row r="25" spans="1:5" x14ac:dyDescent="0.3">
      <c r="A25" s="3">
        <v>40082900</v>
      </c>
      <c r="B25" s="2">
        <v>0</v>
      </c>
      <c r="C25" s="4"/>
      <c r="D25" s="11" t="s">
        <v>46</v>
      </c>
      <c r="E25" s="9">
        <v>0.2</v>
      </c>
    </row>
    <row r="26" spans="1:5" x14ac:dyDescent="0.3">
      <c r="A26" s="1" t="s">
        <v>13</v>
      </c>
      <c r="B26" s="2">
        <v>0</v>
      </c>
      <c r="C26" s="5"/>
      <c r="D26" s="11" t="s">
        <v>46</v>
      </c>
      <c r="E26" s="9">
        <v>0.2</v>
      </c>
    </row>
    <row r="27" spans="1:5" x14ac:dyDescent="0.3">
      <c r="A27" s="1" t="s">
        <v>14</v>
      </c>
      <c r="B27" s="2">
        <v>1</v>
      </c>
      <c r="C27" s="5" t="s">
        <v>29</v>
      </c>
      <c r="D27" s="11" t="s">
        <v>47</v>
      </c>
      <c r="E27" s="9">
        <v>0</v>
      </c>
    </row>
    <row r="28" spans="1:5" x14ac:dyDescent="0.3">
      <c r="A28" s="1" t="s">
        <v>15</v>
      </c>
      <c r="B28" s="2">
        <v>1</v>
      </c>
      <c r="C28" s="5" t="s">
        <v>30</v>
      </c>
      <c r="D28" s="11" t="s">
        <v>47</v>
      </c>
      <c r="E28" s="9">
        <v>0</v>
      </c>
    </row>
    <row r="29" spans="1:5" x14ac:dyDescent="0.3">
      <c r="A29" s="1" t="s">
        <v>16</v>
      </c>
      <c r="B29" s="2">
        <v>1</v>
      </c>
      <c r="C29" s="5" t="s">
        <v>30</v>
      </c>
      <c r="D29" s="11" t="s">
        <v>47</v>
      </c>
      <c r="E29" s="9">
        <v>0</v>
      </c>
    </row>
    <row r="30" spans="1:5" x14ac:dyDescent="0.3">
      <c r="A30" s="1" t="s">
        <v>17</v>
      </c>
      <c r="B30" s="2">
        <v>1</v>
      </c>
      <c r="C30" s="5" t="s">
        <v>31</v>
      </c>
      <c r="D30" s="11" t="s">
        <v>47</v>
      </c>
      <c r="E30" s="9">
        <v>0</v>
      </c>
    </row>
    <row r="31" spans="1:5" x14ac:dyDescent="0.3">
      <c r="A31" s="1" t="s">
        <v>18</v>
      </c>
      <c r="B31" s="2">
        <v>1</v>
      </c>
      <c r="C31" s="5" t="s">
        <v>32</v>
      </c>
      <c r="D31" s="11" t="s">
        <v>47</v>
      </c>
      <c r="E31" s="9">
        <v>0</v>
      </c>
    </row>
    <row r="32" spans="1:5" x14ac:dyDescent="0.3">
      <c r="A32" s="1" t="s">
        <v>19</v>
      </c>
      <c r="B32" s="2">
        <v>1</v>
      </c>
      <c r="C32" s="5" t="s">
        <v>33</v>
      </c>
      <c r="D32" s="11" t="s">
        <v>47</v>
      </c>
      <c r="E32" s="9">
        <v>0</v>
      </c>
    </row>
    <row r="33" spans="1:5" x14ac:dyDescent="0.3">
      <c r="A33" s="1" t="s">
        <v>20</v>
      </c>
      <c r="B33" s="2">
        <v>1</v>
      </c>
      <c r="C33" s="5" t="s">
        <v>32</v>
      </c>
      <c r="D33" s="11" t="s">
        <v>47</v>
      </c>
      <c r="E33" s="9">
        <v>0</v>
      </c>
    </row>
    <row r="34" spans="1:5" x14ac:dyDescent="0.3">
      <c r="A34" s="1" t="s">
        <v>21</v>
      </c>
      <c r="B34" s="2">
        <v>1</v>
      </c>
      <c r="C34" s="5" t="s">
        <v>34</v>
      </c>
      <c r="D34" s="11" t="s">
        <v>47</v>
      </c>
      <c r="E34" s="9">
        <v>0</v>
      </c>
    </row>
    <row r="35" spans="1:5" x14ac:dyDescent="0.3">
      <c r="A35" s="1" t="s">
        <v>22</v>
      </c>
      <c r="B35" s="2">
        <v>1</v>
      </c>
      <c r="C35" s="5" t="s">
        <v>35</v>
      </c>
      <c r="D35" s="11" t="s">
        <v>47</v>
      </c>
      <c r="E35" s="9">
        <v>0</v>
      </c>
    </row>
    <row r="36" spans="1:5" x14ac:dyDescent="0.3">
      <c r="A36" s="1" t="s">
        <v>23</v>
      </c>
      <c r="B36" s="2">
        <v>1</v>
      </c>
      <c r="C36" s="5" t="s">
        <v>36</v>
      </c>
      <c r="D36" s="11" t="s">
        <v>47</v>
      </c>
      <c r="E36" s="9">
        <v>0</v>
      </c>
    </row>
    <row r="37" spans="1:5" x14ac:dyDescent="0.3">
      <c r="A37" s="1" t="s">
        <v>24</v>
      </c>
      <c r="B37" s="2">
        <v>1</v>
      </c>
      <c r="C37" s="5" t="s">
        <v>37</v>
      </c>
      <c r="D37" s="11" t="s">
        <v>47</v>
      </c>
      <c r="E37" s="9">
        <v>0</v>
      </c>
    </row>
    <row r="38" spans="1:5" x14ac:dyDescent="0.3">
      <c r="A38" s="1" t="s">
        <v>25</v>
      </c>
      <c r="B38" s="2">
        <v>1</v>
      </c>
      <c r="C38" s="5" t="s">
        <v>34</v>
      </c>
      <c r="D38" s="11" t="s">
        <v>47</v>
      </c>
      <c r="E38" s="9">
        <v>0</v>
      </c>
    </row>
    <row r="39" spans="1:5" x14ac:dyDescent="0.3">
      <c r="A39" s="1" t="s">
        <v>26</v>
      </c>
      <c r="B39" s="2">
        <v>1</v>
      </c>
      <c r="C39" s="5" t="s">
        <v>38</v>
      </c>
      <c r="D39" s="11" t="s">
        <v>47</v>
      </c>
      <c r="E39" s="9">
        <v>0</v>
      </c>
    </row>
    <row r="40" spans="1:5" x14ac:dyDescent="0.3">
      <c r="A40" s="1" t="s">
        <v>27</v>
      </c>
      <c r="B40" s="2">
        <v>1</v>
      </c>
      <c r="C40" s="5" t="s">
        <v>39</v>
      </c>
      <c r="D40" s="11" t="s">
        <v>47</v>
      </c>
      <c r="E40" s="9">
        <v>0</v>
      </c>
    </row>
    <row r="41" spans="1:5" x14ac:dyDescent="0.3">
      <c r="A41" s="1" t="s">
        <v>28</v>
      </c>
      <c r="B41" s="2">
        <v>1</v>
      </c>
      <c r="C41" s="5" t="s">
        <v>29</v>
      </c>
      <c r="D41" s="11" t="s">
        <v>47</v>
      </c>
      <c r="E41" s="9">
        <v>0</v>
      </c>
    </row>
    <row r="42" spans="1:5" x14ac:dyDescent="0.3">
      <c r="A42" s="3">
        <v>39252000</v>
      </c>
      <c r="B42" s="2">
        <v>1</v>
      </c>
      <c r="C42" s="5" t="s">
        <v>40</v>
      </c>
      <c r="D42" s="11" t="s">
        <v>47</v>
      </c>
      <c r="E42" s="9">
        <v>0</v>
      </c>
    </row>
    <row r="43" spans="1:5" x14ac:dyDescent="0.3">
      <c r="A43" s="3">
        <v>73089010</v>
      </c>
      <c r="B43" s="2">
        <v>1</v>
      </c>
      <c r="C43" s="5" t="s">
        <v>41</v>
      </c>
      <c r="D43" s="11" t="s">
        <v>47</v>
      </c>
      <c r="E43" s="9">
        <v>0</v>
      </c>
    </row>
    <row r="44" spans="1:5" x14ac:dyDescent="0.3">
      <c r="A44" s="3">
        <v>73269090</v>
      </c>
      <c r="B44" s="2">
        <v>1</v>
      </c>
      <c r="C44" s="4" t="s">
        <v>42</v>
      </c>
      <c r="D44" s="11" t="s">
        <v>47</v>
      </c>
      <c r="E44" s="9">
        <v>0</v>
      </c>
    </row>
    <row r="45" spans="1:5" x14ac:dyDescent="0.3">
      <c r="A45" s="3">
        <v>76169900</v>
      </c>
      <c r="B45" s="2">
        <v>1</v>
      </c>
      <c r="C45" s="4" t="s">
        <v>43</v>
      </c>
      <c r="D45" s="11" t="s">
        <v>47</v>
      </c>
      <c r="E45" s="9">
        <v>0</v>
      </c>
    </row>
    <row r="46" spans="1:5" x14ac:dyDescent="0.3">
      <c r="A46" s="3">
        <v>73261900</v>
      </c>
      <c r="B46" s="2">
        <v>1</v>
      </c>
      <c r="C46" s="4" t="s">
        <v>42</v>
      </c>
      <c r="D46" s="11" t="s">
        <v>47</v>
      </c>
      <c r="E46" s="9">
        <v>0</v>
      </c>
    </row>
    <row r="47" spans="1:5" x14ac:dyDescent="0.3">
      <c r="A47" s="3">
        <v>39219090</v>
      </c>
      <c r="B47" s="2">
        <v>1</v>
      </c>
      <c r="C47" s="4" t="s">
        <v>44</v>
      </c>
      <c r="D47" s="11" t="s">
        <v>47</v>
      </c>
      <c r="E47" s="9">
        <v>0</v>
      </c>
    </row>
    <row r="48" spans="1:5" x14ac:dyDescent="0.3">
      <c r="A48" s="3">
        <v>39169090</v>
      </c>
      <c r="B48" s="2">
        <v>1</v>
      </c>
      <c r="C48" s="4" t="s">
        <v>36</v>
      </c>
      <c r="D48" s="11" t="s">
        <v>47</v>
      </c>
      <c r="E48" s="9">
        <v>0</v>
      </c>
    </row>
    <row r="49" spans="1:5" x14ac:dyDescent="0.3">
      <c r="A49" s="3">
        <v>83015000</v>
      </c>
      <c r="B49" s="2">
        <v>1</v>
      </c>
      <c r="C49" s="5" t="s">
        <v>32</v>
      </c>
      <c r="D49" s="11" t="s">
        <v>47</v>
      </c>
      <c r="E49" s="9">
        <v>0</v>
      </c>
    </row>
    <row r="50" spans="1:5" x14ac:dyDescent="0.3">
      <c r="A50" s="3">
        <v>32082030</v>
      </c>
      <c r="B50" s="2">
        <v>1</v>
      </c>
      <c r="C50" s="4" t="s">
        <v>45</v>
      </c>
      <c r="D50" s="11" t="s">
        <v>47</v>
      </c>
      <c r="E50" s="9">
        <v>0</v>
      </c>
    </row>
    <row r="51" spans="1:5" x14ac:dyDescent="0.3">
      <c r="A51" s="3">
        <v>73182900</v>
      </c>
      <c r="B51" s="2">
        <v>1</v>
      </c>
      <c r="C51" s="5" t="s">
        <v>34</v>
      </c>
      <c r="D51" s="11" t="s">
        <v>47</v>
      </c>
      <c r="E51" s="9">
        <v>0</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1CF86-55E8-4769-8260-C67A631DFDEB}">
  <dimension ref="A1:E27"/>
  <sheetViews>
    <sheetView zoomScale="55" zoomScaleNormal="55" workbookViewId="0">
      <selection activeCell="A25" sqref="A25"/>
    </sheetView>
  </sheetViews>
  <sheetFormatPr defaultRowHeight="14.4" x14ac:dyDescent="0.3"/>
  <cols>
    <col min="2" max="2" width="153.33203125" bestFit="1" customWidth="1"/>
    <col min="3" max="3" width="228.88671875" bestFit="1" customWidth="1"/>
    <col min="4" max="4" width="220.21875" bestFit="1" customWidth="1"/>
  </cols>
  <sheetData>
    <row r="1" spans="1:5" x14ac:dyDescent="0.3">
      <c r="A1" s="10" t="s">
        <v>103</v>
      </c>
      <c r="B1" s="10" t="s">
        <v>104</v>
      </c>
      <c r="C1" s="10" t="s">
        <v>105</v>
      </c>
      <c r="D1" s="10" t="s">
        <v>106</v>
      </c>
      <c r="E1" s="10" t="s">
        <v>107</v>
      </c>
    </row>
    <row r="2" spans="1:5" x14ac:dyDescent="0.3">
      <c r="A2" s="10">
        <v>5102</v>
      </c>
      <c r="B2" s="10" t="s">
        <v>53</v>
      </c>
      <c r="C2" s="10" t="s">
        <v>54</v>
      </c>
      <c r="D2" s="10" t="s">
        <v>55</v>
      </c>
      <c r="E2" s="10" t="str">
        <f>IF(A2 &lt; 6000, "DF", "Outros Estados")</f>
        <v>DF</v>
      </c>
    </row>
    <row r="3" spans="1:5" x14ac:dyDescent="0.3">
      <c r="A3" s="10">
        <v>6102</v>
      </c>
      <c r="B3" s="10" t="s">
        <v>53</v>
      </c>
      <c r="C3" s="10" t="s">
        <v>56</v>
      </c>
      <c r="D3" s="10" t="s">
        <v>55</v>
      </c>
      <c r="E3" s="10" t="str">
        <f t="shared" ref="E3:E27" si="0">IF(A3 &lt; 6000, "DF", "Outros Estados")</f>
        <v>Outros Estados</v>
      </c>
    </row>
    <row r="4" spans="1:5" x14ac:dyDescent="0.3">
      <c r="A4" s="10">
        <v>5117</v>
      </c>
      <c r="B4" s="10" t="s">
        <v>57</v>
      </c>
      <c r="C4" s="10" t="s">
        <v>58</v>
      </c>
      <c r="D4" s="10" t="s">
        <v>59</v>
      </c>
      <c r="E4" s="10" t="str">
        <f t="shared" si="0"/>
        <v>DF</v>
      </c>
    </row>
    <row r="5" spans="1:5" x14ac:dyDescent="0.3">
      <c r="A5" s="10">
        <v>6117</v>
      </c>
      <c r="B5" s="10" t="s">
        <v>57</v>
      </c>
      <c r="C5" s="10" t="s">
        <v>60</v>
      </c>
      <c r="D5" s="10" t="s">
        <v>61</v>
      </c>
      <c r="E5" s="10" t="str">
        <f t="shared" si="0"/>
        <v>Outros Estados</v>
      </c>
    </row>
    <row r="6" spans="1:5" x14ac:dyDescent="0.3">
      <c r="A6" s="10">
        <v>5123</v>
      </c>
      <c r="B6" s="10" t="s">
        <v>62</v>
      </c>
      <c r="C6" s="10" t="s">
        <v>63</v>
      </c>
      <c r="D6" s="10" t="s">
        <v>55</v>
      </c>
      <c r="E6" s="10" t="str">
        <f t="shared" si="0"/>
        <v>DF</v>
      </c>
    </row>
    <row r="7" spans="1:5" x14ac:dyDescent="0.3">
      <c r="A7" s="10">
        <v>6123</v>
      </c>
      <c r="B7" s="10" t="s">
        <v>62</v>
      </c>
      <c r="C7" s="10" t="s">
        <v>64</v>
      </c>
      <c r="D7" s="10" t="s">
        <v>55</v>
      </c>
      <c r="E7" s="10" t="str">
        <f t="shared" si="0"/>
        <v>Outros Estados</v>
      </c>
    </row>
    <row r="8" spans="1:5" x14ac:dyDescent="0.3">
      <c r="A8" s="10">
        <v>5202</v>
      </c>
      <c r="B8" s="10" t="s">
        <v>65</v>
      </c>
      <c r="C8" s="10" t="s">
        <v>66</v>
      </c>
      <c r="D8" s="10" t="s">
        <v>67</v>
      </c>
      <c r="E8" s="10" t="str">
        <f t="shared" si="0"/>
        <v>DF</v>
      </c>
    </row>
    <row r="9" spans="1:5" x14ac:dyDescent="0.3">
      <c r="A9" s="10">
        <v>6202</v>
      </c>
      <c r="B9" s="10" t="s">
        <v>65</v>
      </c>
      <c r="C9" s="10" t="s">
        <v>68</v>
      </c>
      <c r="D9" s="10" t="s">
        <v>67</v>
      </c>
      <c r="E9" s="10" t="str">
        <f t="shared" si="0"/>
        <v>Outros Estados</v>
      </c>
    </row>
    <row r="10" spans="1:5" x14ac:dyDescent="0.3">
      <c r="A10" s="10">
        <v>5405</v>
      </c>
      <c r="B10" s="10" t="s">
        <v>69</v>
      </c>
      <c r="C10" s="10" t="s">
        <v>70</v>
      </c>
      <c r="D10" s="10" t="s">
        <v>71</v>
      </c>
      <c r="E10" s="10" t="str">
        <f t="shared" si="0"/>
        <v>DF</v>
      </c>
    </row>
    <row r="11" spans="1:5" x14ac:dyDescent="0.3">
      <c r="A11" s="10">
        <v>5411</v>
      </c>
      <c r="B11" s="10" t="s">
        <v>72</v>
      </c>
      <c r="C11" s="10" t="s">
        <v>73</v>
      </c>
      <c r="D11" s="10" t="s">
        <v>74</v>
      </c>
      <c r="E11" s="10" t="str">
        <f t="shared" si="0"/>
        <v>DF</v>
      </c>
    </row>
    <row r="12" spans="1:5" x14ac:dyDescent="0.3">
      <c r="A12" s="10">
        <v>6411</v>
      </c>
      <c r="B12" s="10" t="s">
        <v>72</v>
      </c>
      <c r="C12" s="10" t="s">
        <v>75</v>
      </c>
      <c r="D12" s="10" t="s">
        <v>74</v>
      </c>
      <c r="E12" s="10" t="str">
        <f t="shared" si="0"/>
        <v>Outros Estados</v>
      </c>
    </row>
    <row r="13" spans="1:5" x14ac:dyDescent="0.3">
      <c r="A13" s="10">
        <v>5901</v>
      </c>
      <c r="B13" s="10" t="s">
        <v>76</v>
      </c>
      <c r="C13" s="10" t="s">
        <v>77</v>
      </c>
      <c r="D13" s="10" t="s">
        <v>78</v>
      </c>
      <c r="E13" s="10" t="str">
        <f t="shared" si="0"/>
        <v>DF</v>
      </c>
    </row>
    <row r="14" spans="1:5" x14ac:dyDescent="0.3">
      <c r="A14" s="10">
        <v>6901</v>
      </c>
      <c r="B14" s="10" t="s">
        <v>76</v>
      </c>
      <c r="C14" s="10" t="s">
        <v>77</v>
      </c>
      <c r="D14" s="10" t="s">
        <v>78</v>
      </c>
      <c r="E14" s="10" t="str">
        <f t="shared" si="0"/>
        <v>Outros Estados</v>
      </c>
    </row>
    <row r="15" spans="1:5" x14ac:dyDescent="0.3">
      <c r="A15" s="10">
        <v>5908</v>
      </c>
      <c r="B15" s="10" t="s">
        <v>79</v>
      </c>
      <c r="C15" s="10" t="s">
        <v>80</v>
      </c>
      <c r="D15" s="10" t="s">
        <v>78</v>
      </c>
      <c r="E15" s="10" t="str">
        <f t="shared" si="0"/>
        <v>DF</v>
      </c>
    </row>
    <row r="16" spans="1:5" x14ac:dyDescent="0.3">
      <c r="A16" s="10">
        <v>5910</v>
      </c>
      <c r="B16" s="10" t="s">
        <v>81</v>
      </c>
      <c r="C16" s="10" t="s">
        <v>82</v>
      </c>
      <c r="D16" s="10" t="s">
        <v>83</v>
      </c>
      <c r="E16" s="10" t="str">
        <f t="shared" si="0"/>
        <v>DF</v>
      </c>
    </row>
    <row r="17" spans="1:5" x14ac:dyDescent="0.3">
      <c r="A17" s="10">
        <v>6910</v>
      </c>
      <c r="B17" s="10" t="s">
        <v>81</v>
      </c>
      <c r="C17" s="10" t="s">
        <v>82</v>
      </c>
      <c r="D17" s="10" t="s">
        <v>83</v>
      </c>
      <c r="E17" s="10" t="str">
        <f t="shared" si="0"/>
        <v>Outros Estados</v>
      </c>
    </row>
    <row r="18" spans="1:5" x14ac:dyDescent="0.3">
      <c r="A18" s="10">
        <v>5922</v>
      </c>
      <c r="B18" s="10" t="s">
        <v>84</v>
      </c>
      <c r="C18" s="10" t="s">
        <v>85</v>
      </c>
      <c r="D18" s="10" t="s">
        <v>86</v>
      </c>
      <c r="E18" s="10" t="str">
        <f t="shared" si="0"/>
        <v>DF</v>
      </c>
    </row>
    <row r="19" spans="1:5" x14ac:dyDescent="0.3">
      <c r="A19" s="10">
        <v>6922</v>
      </c>
      <c r="B19" s="10" t="s">
        <v>84</v>
      </c>
      <c r="C19" s="10" t="s">
        <v>87</v>
      </c>
      <c r="D19" s="10" t="s">
        <v>86</v>
      </c>
      <c r="E19" s="10" t="str">
        <f t="shared" si="0"/>
        <v>Outros Estados</v>
      </c>
    </row>
    <row r="20" spans="1:5" x14ac:dyDescent="0.3">
      <c r="A20" s="10">
        <v>5924</v>
      </c>
      <c r="B20" s="10" t="s">
        <v>88</v>
      </c>
      <c r="C20" s="10" t="s">
        <v>89</v>
      </c>
      <c r="D20" s="10" t="s">
        <v>78</v>
      </c>
      <c r="E20" s="10" t="str">
        <f t="shared" si="0"/>
        <v>DF</v>
      </c>
    </row>
    <row r="21" spans="1:5" x14ac:dyDescent="0.3">
      <c r="A21" s="10">
        <v>6924</v>
      </c>
      <c r="B21" s="10" t="s">
        <v>88</v>
      </c>
      <c r="C21" s="10" t="s">
        <v>90</v>
      </c>
      <c r="D21" s="10" t="s">
        <v>78</v>
      </c>
      <c r="E21" s="10" t="str">
        <f t="shared" si="0"/>
        <v>Outros Estados</v>
      </c>
    </row>
    <row r="22" spans="1:5" x14ac:dyDescent="0.3">
      <c r="A22" s="10">
        <v>5925</v>
      </c>
      <c r="B22" s="10" t="s">
        <v>91</v>
      </c>
      <c r="C22" s="10" t="s">
        <v>92</v>
      </c>
      <c r="D22" s="10" t="s">
        <v>78</v>
      </c>
      <c r="E22" s="10" t="str">
        <f t="shared" si="0"/>
        <v>DF</v>
      </c>
    </row>
    <row r="23" spans="1:5" x14ac:dyDescent="0.3">
      <c r="A23" s="10">
        <v>5949</v>
      </c>
      <c r="B23" s="10" t="s">
        <v>93</v>
      </c>
      <c r="C23" s="10" t="s">
        <v>94</v>
      </c>
      <c r="D23" s="10" t="s">
        <v>78</v>
      </c>
      <c r="E23" s="10" t="str">
        <f t="shared" si="0"/>
        <v>DF</v>
      </c>
    </row>
    <row r="24" spans="1:5" x14ac:dyDescent="0.3">
      <c r="A24" s="10">
        <v>6949</v>
      </c>
      <c r="B24" s="10" t="s">
        <v>93</v>
      </c>
      <c r="C24" s="10" t="s">
        <v>95</v>
      </c>
      <c r="D24" s="10" t="s">
        <v>78</v>
      </c>
      <c r="E24" s="10" t="str">
        <f t="shared" si="0"/>
        <v>Outros Estados</v>
      </c>
    </row>
    <row r="25" spans="1:5" x14ac:dyDescent="0.3">
      <c r="A25" s="10">
        <v>6101</v>
      </c>
      <c r="B25" s="10" t="s">
        <v>96</v>
      </c>
      <c r="C25" s="10" t="s">
        <v>97</v>
      </c>
      <c r="D25" s="10" t="s">
        <v>55</v>
      </c>
      <c r="E25" s="10" t="str">
        <f t="shared" si="0"/>
        <v>Outros Estados</v>
      </c>
    </row>
    <row r="26" spans="1:5" x14ac:dyDescent="0.3">
      <c r="A26" s="10">
        <v>6108</v>
      </c>
      <c r="B26" s="10" t="s">
        <v>98</v>
      </c>
      <c r="C26" s="10" t="s">
        <v>99</v>
      </c>
      <c r="D26" s="10" t="s">
        <v>100</v>
      </c>
      <c r="E26" s="10" t="str">
        <f t="shared" si="0"/>
        <v>Outros Estados</v>
      </c>
    </row>
    <row r="27" spans="1:5" x14ac:dyDescent="0.3">
      <c r="A27" s="10">
        <v>6913</v>
      </c>
      <c r="B27" s="10" t="s">
        <v>101</v>
      </c>
      <c r="C27" s="10" t="s">
        <v>102</v>
      </c>
      <c r="D27" s="10" t="s">
        <v>78</v>
      </c>
      <c r="E27" s="10" t="str">
        <f t="shared" si="0"/>
        <v>Outros Estados</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NCMS</vt:lpstr>
      <vt:lpstr>CFOPS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GIULIA SOARES VIEIRA</dc:creator>
  <cp:lastModifiedBy>GIULIA SOARES VIEIRA</cp:lastModifiedBy>
  <dcterms:created xsi:type="dcterms:W3CDTF">2025-09-19T19:07:26Z</dcterms:created>
  <dcterms:modified xsi:type="dcterms:W3CDTF">2025-09-22T17:10:23Z</dcterms:modified>
</cp:coreProperties>
</file>