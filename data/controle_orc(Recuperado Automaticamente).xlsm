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ernando\Documents\Projetos\projeto_plataforma_integrada\data\"/>
    </mc:Choice>
  </mc:AlternateContent>
  <xr:revisionPtr revIDLastSave="0" documentId="8_{EF5664FC-C32B-4FD3-96C7-2561F3B31E51}" xr6:coauthVersionLast="47" xr6:coauthVersionMax="47" xr10:uidLastSave="{00000000-0000-0000-0000-000000000000}"/>
  <bookViews>
    <workbookView xWindow="2880" yWindow="1368" windowWidth="17472" windowHeight="10416" tabRatio="602" firstSheet="1" activeTab="1" xr2:uid="{00000000-000D-0000-FFFF-FFFF00000000}"/>
  </bookViews>
  <sheets>
    <sheet name="Orçamento" sheetId="1" r:id="rId1"/>
    <sheet name="Planilha1" sheetId="3" r:id="rId2"/>
    <sheet name="Menu Suspenso" sheetId="2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" i="1" l="1"/>
  <c r="X101" i="1"/>
  <c r="A100" i="1"/>
  <c r="X100" i="1"/>
  <c r="A93" i="1" l="1"/>
  <c r="A94" i="1"/>
  <c r="A95" i="1"/>
  <c r="A96" i="1"/>
  <c r="A97" i="1"/>
  <c r="A98" i="1"/>
  <c r="A99" i="1"/>
  <c r="X93" i="1"/>
  <c r="X94" i="1"/>
  <c r="X95" i="1"/>
  <c r="X96" i="1"/>
  <c r="X97" i="1"/>
  <c r="X98" i="1"/>
  <c r="X99" i="1"/>
  <c r="A92" i="1"/>
  <c r="X92" i="1"/>
  <c r="X8" i="1" l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G5" i="1" l="1"/>
  <c r="E4" i="1"/>
  <c r="E3" i="1"/>
  <c r="F3" i="1"/>
  <c r="E5" i="1"/>
  <c r="F4" i="1"/>
  <c r="F5" i="1"/>
  <c r="G3" i="1"/>
  <c r="G4" i="1"/>
  <c r="A7" i="1"/>
  <c r="D5" i="1" l="1"/>
  <c r="D4" i="1"/>
  <c r="D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EEB407-9E68-498D-819A-8C34DC3FD236}" keepAlive="1" name="Consulta - TabelaOrcamento" description="Conexão com a consulta 'TabelaOrcamento' na pasta de trabalho." type="5" refreshedVersion="0" background="1">
    <dbPr connection="Provider=Microsoft.Mashup.OleDb.1;Data Source=$Workbook$;Location=TabelaOrcamento;Extended Properties=&quot;&quot;" command="SELECT * FROM [TabelaOrcament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<sst xmlns="http://schemas.openxmlformats.org/spreadsheetml/2006/main" count="1439" uniqueCount="364">
  <si>
    <t xml:space="preserve">                                              CONTROLE DE ORÇAMENTOS  - 2025</t>
  </si>
  <si>
    <t>Nº Orçamentos 2025</t>
  </si>
  <si>
    <t>Total em Kg Orçados</t>
  </si>
  <si>
    <t>Total em R$ Orçados</t>
  </si>
  <si>
    <t>MÊS</t>
  </si>
  <si>
    <t>CLIENTE</t>
  </si>
  <si>
    <t>OBRA</t>
  </si>
  <si>
    <t>ENTRADA</t>
  </si>
  <si>
    <t>SOLICITANTE</t>
  </si>
  <si>
    <t>INÍCIO</t>
  </si>
  <si>
    <t>PRAZO DEPTO. TÉCNICO</t>
  </si>
  <si>
    <t>CODIGO</t>
  </si>
  <si>
    <t>CONCLUSÃO DEPTO. TÉCNICO</t>
  </si>
  <si>
    <t>ENVIADO AO COMERCIAL</t>
  </si>
  <si>
    <t>TECNICO</t>
  </si>
  <si>
    <t>FORNECEDOR</t>
  </si>
  <si>
    <t>PESO (kg)</t>
  </si>
  <si>
    <t>AREA (m²)</t>
  </si>
  <si>
    <t>REVISAO</t>
  </si>
  <si>
    <t>PASTA</t>
  </si>
  <si>
    <t>M BOKEL CONSTRUTORA</t>
  </si>
  <si>
    <t>SERRA DA MESA</t>
  </si>
  <si>
    <t>DAILOR</t>
  </si>
  <si>
    <t>CONCLUIDO</t>
  </si>
  <si>
    <t>ALUB-25-02-0016</t>
  </si>
  <si>
    <t>FERNANDO</t>
  </si>
  <si>
    <t>MERCADO</t>
  </si>
  <si>
    <t>Tecnica\01 ORÇAMENTOS\02 CONSTRUTORA\M BOKEL CONSTRUTORA</t>
  </si>
  <si>
    <t>DIRECIONAL</t>
  </si>
  <si>
    <t>OBRA 296C - SCT 61744 - BRISE</t>
  </si>
  <si>
    <t>FRED</t>
  </si>
  <si>
    <t>ALUB-25-01-0000</t>
  </si>
  <si>
    <t>Tecnica\01 ORÇAMENTOS\02 CONSTRUTORA\DIRECIONAL\2025 - OBRA 296C - SCT 61744 - BRISE</t>
  </si>
  <si>
    <t>APOIO ENGENHARIA</t>
  </si>
  <si>
    <t>CHÁCARA BERNADETE</t>
  </si>
  <si>
    <t>ALUB-25-01-0002_01</t>
  </si>
  <si>
    <t>CDA</t>
  </si>
  <si>
    <t>Tecnica\01 ORÇAMENTOS\01 VAREJO\2025\ALUBRASA\01 - APOIO ENGENHARIA\CHÁCARA BERNADETH\LEVANTAMENTO\REV 13.01.2025</t>
  </si>
  <si>
    <t xml:space="preserve">RIDAL </t>
  </si>
  <si>
    <t>GALPÃO SKS</t>
  </si>
  <si>
    <t>ALUB-25-01-0009</t>
  </si>
  <si>
    <t>CRISTIAN</t>
  </si>
  <si>
    <t>CBA</t>
  </si>
  <si>
    <t>Tecnica\01 ORÇAMENTOS\01 VAREJO\2025\ALUBRASA\06 - GALPÃO SKS</t>
  </si>
  <si>
    <t>STYLOS ENGENHARIA</t>
  </si>
  <si>
    <t>LIV 635</t>
  </si>
  <si>
    <t>ALUB-25-01-0014</t>
  </si>
  <si>
    <t>Tecnica\01 ORÇAMENTOS\02 CONSTRUTORA\STYLOS ENGENHARIA\LIV 635</t>
  </si>
  <si>
    <t>JULIMA ARQUITETURA</t>
  </si>
  <si>
    <t>SQS 304 BLOCO J</t>
  </si>
  <si>
    <t>ALUB-24-0077-01</t>
  </si>
  <si>
    <t>Tecnica\01 ORÇAMENTOS\03 RETROFIT\JULIMA ARQUITETURA\LEVANTAMENTO ACM 22.01.2025</t>
  </si>
  <si>
    <t>PAULO OCTAVIO</t>
  </si>
  <si>
    <t>POE825</t>
  </si>
  <si>
    <t>ALUB-24-07-0088 R002</t>
  </si>
  <si>
    <t>ELIAS</t>
  </si>
  <si>
    <t>Tecnica\01 ORÇAMENTOS\02 CONSTRUTORA\PAULO OCTÁVIO\POE-825</t>
  </si>
  <si>
    <t>OLIMPO CONSTRUTORA</t>
  </si>
  <si>
    <t>SQN 108E</t>
  </si>
  <si>
    <t>ALUB-25-02-0017</t>
  </si>
  <si>
    <t>Tecnica\01 ORÇAMENTOS\03 RETROFIT\OLIMPO CONSTRUTORA\02 - SQN 108 E</t>
  </si>
  <si>
    <t>SOUSA ANDRADE</t>
  </si>
  <si>
    <t>SINGAH</t>
  </si>
  <si>
    <t>ALUB-25-01-0012</t>
  </si>
  <si>
    <t>Tecnica\01 ORÇAMENTOS\02 CONSTRUTORA\SOUSA ANDRADE\02 - SINGAH</t>
  </si>
  <si>
    <t>CANCELADO</t>
  </si>
  <si>
    <t>INTTER</t>
  </si>
  <si>
    <t>QUADRA 207</t>
  </si>
  <si>
    <t>ALUB-24-08-0104-01</t>
  </si>
  <si>
    <t>Tecnica\01 ORÇAMENTOS\02 CONSTRUTORA\INTTER\INTTER207</t>
  </si>
  <si>
    <t>DAN-HEBERT ENGENHARIA</t>
  </si>
  <si>
    <t>PARTAGE SHOPPING BRASILIA</t>
  </si>
  <si>
    <t>ALUB-25-01-0004-03</t>
  </si>
  <si>
    <t>Tecnica\01 ORÇAMENTOS\02 CONSTRUTORA\DAN HEBERT\2025 - PARTAGE SHOPPING BRASILIA</t>
  </si>
  <si>
    <t>RECALL ESQUADRIAS</t>
  </si>
  <si>
    <t>ABSOLUTO</t>
  </si>
  <si>
    <t>ELAINE</t>
  </si>
  <si>
    <t>ALUB-25-06-0099</t>
  </si>
  <si>
    <t>Tecnica\01 ORÇAMENTOS\05 SERRALHERIAS\05 RECALL - ESQUADRIAS\2025\01 - ABSOLUTO</t>
  </si>
  <si>
    <t>ELMO ENGENHARIA</t>
  </si>
  <si>
    <t>LUX BOULEVARD</t>
  </si>
  <si>
    <t>ALUB-25-02-0020</t>
  </si>
  <si>
    <t>ERICA</t>
  </si>
  <si>
    <t>INOVA ESQUADRIAS</t>
  </si>
  <si>
    <t>RESIDENCIA</t>
  </si>
  <si>
    <t>Tecnica\01 ORÇAMENTOS\01 VAREJO\2025\ALUBRASA\11 - INOVA ESQUADRIAS</t>
  </si>
  <si>
    <t>SUPERA ENGENHARIA</t>
  </si>
  <si>
    <t>CNC SGAS 613 - ACM</t>
  </si>
  <si>
    <t>ALUB-25-02-0021-ACM</t>
  </si>
  <si>
    <t>Tecnica\01 ORÇAMENTOS\02 CONSTRUTORA\SUPERA ENGENHARIA\07 CNC SGAS 613\LEVANTAMENTO ACM</t>
  </si>
  <si>
    <t>CNC SGAS 613 - ESQUADRIAS</t>
  </si>
  <si>
    <t>ALUB-25-02-0021</t>
  </si>
  <si>
    <t>Tecnica\01 ORÇAMENTOS\02 CONSTRUTORA\SUPERA ENGENHARIA\07 CNC SGAS 613\LEVANTAMENTO ESQUADRIAS</t>
  </si>
  <si>
    <t>CITY ENGENHARIA</t>
  </si>
  <si>
    <t xml:space="preserve">CITY T-23 </t>
  </si>
  <si>
    <t>Tecnica\01 ORÇAMENTOS\02 CONSTRUTORA\CITY ENGENHARIA\15 CITY T-23\ARQUIVOS DO CLIENTE</t>
  </si>
  <si>
    <t>HOTEL - PALMAS</t>
  </si>
  <si>
    <t>Tecnica\01 ORÇAMENTOS\05 SERRALHERIAS\05 RECALL - ESQUADRIAS\2025\02 - HOTEL PALMAS</t>
  </si>
  <si>
    <t>POE 828 - RETROFIT B.B.</t>
  </si>
  <si>
    <t>ALUB-24-08-0106-02</t>
  </si>
  <si>
    <t>Tecnica\01 ORÇAMENTOS\02 CONSTRUTORA\PAULO OCTÁVIO\22 - POE 828 - RETROFIT BB\ATUALIZAÇÃO PE - 13-02-2025</t>
  </si>
  <si>
    <t>THORIUM</t>
  </si>
  <si>
    <t>INTERBRASIL DISTRIBUIDORA</t>
  </si>
  <si>
    <t>24/02/205</t>
  </si>
  <si>
    <t>ALUB-25-02-0025</t>
  </si>
  <si>
    <t>Tecnica\01 ORÇAMENTOS\02 CONSTRUTORA\THORIUM ENGENHARIA\02 - INTERBRASIL DISTRIDUIDORA\ARQUIVOS DO CLIENTE</t>
  </si>
  <si>
    <t>PALACIO DO COMERCIO</t>
  </si>
  <si>
    <t>ALUB-25-03-0029</t>
  </si>
  <si>
    <t>Tecnica\01 ORÇAMENTOS\01 VAREJO\2025\ALUBRASA\10 - PALACIO DO COMERCIO</t>
  </si>
  <si>
    <t>ENGEMIL</t>
  </si>
  <si>
    <t>CAMARA DOS DEPUTADOS</t>
  </si>
  <si>
    <t>ALUB-24-12-0162-1</t>
  </si>
  <si>
    <t>Tecnica\01 ORÇAMENTOS\02 CONSTRUTORA\ENGEMIL\01 - CAMARA DOS DEPUTADOS - BLOCO K-L</t>
  </si>
  <si>
    <t>CONSPLAN</t>
  </si>
  <si>
    <t>CENTRO MÉDICO AGUAS CLARAS</t>
  </si>
  <si>
    <t>ALUB-24-12-0164-01</t>
  </si>
  <si>
    <t>MELNICK</t>
  </si>
  <si>
    <t>CIDADE NILO</t>
  </si>
  <si>
    <t>VANDERLEI</t>
  </si>
  <si>
    <t>ALUB-25-03-0027</t>
  </si>
  <si>
    <t>JI PARANÁ</t>
  </si>
  <si>
    <t>EDIFICIO CARACAS</t>
  </si>
  <si>
    <t>CECÍLIA</t>
  </si>
  <si>
    <t>ALUB-25-03-0028</t>
  </si>
  <si>
    <t>GND CONSTRUÇÕES</t>
  </si>
  <si>
    <t>TRF BRASILIA</t>
  </si>
  <si>
    <t>PORTO BELO</t>
  </si>
  <si>
    <t>MPGO</t>
  </si>
  <si>
    <t>PORTARIA CORUMBA</t>
  </si>
  <si>
    <t>EMPLAVI</t>
  </si>
  <si>
    <t>BALCAO</t>
  </si>
  <si>
    <t>INSTITUTO CERVANTES</t>
  </si>
  <si>
    <t>ALUB-25-06-0093</t>
  </si>
  <si>
    <t>UNIPRF</t>
  </si>
  <si>
    <t>PROCURADORIA DF (RETROFIT)</t>
  </si>
  <si>
    <t>REAL ENGENHARIA</t>
  </si>
  <si>
    <t>REAL 016 (CONTRAMARCOS)</t>
  </si>
  <si>
    <t>ALUB-25-04-0046</t>
  </si>
  <si>
    <t>Tecnica\01 ORÇAMENTOS\02 CONSTRUTORA\REAL ENGENHARIA\REAL PAU BRASIL</t>
  </si>
  <si>
    <t>POE 827 - RES. MARECHAL JOSÉ PESSOA</t>
  </si>
  <si>
    <t>GABRIEL</t>
  </si>
  <si>
    <t>Tecnica\01 ORÇAMENTOS\02 CONSTRUTORA\PAULO OCTÁVIO\POE 827\LEVANTAMENTO CM</t>
  </si>
  <si>
    <t>CILICON ENGENHARIA</t>
  </si>
  <si>
    <t>RESID. LAGO SUL (VILA RAIÔ) R300</t>
  </si>
  <si>
    <t>ALUB-25-04-0047</t>
  </si>
  <si>
    <t>09/04//2025</t>
  </si>
  <si>
    <t>Tecnica\01 ORÇAMENTOS\02 CONSTRUTORA\CILICON\LEVANTAMENTO R300</t>
  </si>
  <si>
    <t>ALUB-25-04-0048</t>
  </si>
  <si>
    <t>Tecnica\01 ORÇAMENTOS\02 CONSTRUTORA\CILICON\LEVANTAMENTO R320</t>
  </si>
  <si>
    <t>CONSTRUTORA JARJOUR</t>
  </si>
  <si>
    <t>ED. OASIS - RETROFIT SUDOESTE</t>
  </si>
  <si>
    <t>ALUB-25-0042-01</t>
  </si>
  <si>
    <t>Tecnica\01 ORÇAMENTOS\02 CONSTRUTORA\CONSTRUTORA JARJOUR\EDIFICIO OASIS - RETROFIT SUDOESTE\ALUB-25-03-0042-01</t>
  </si>
  <si>
    <t>URBAN MALL</t>
  </si>
  <si>
    <t>ALUB-25-04-0058</t>
  </si>
  <si>
    <t>Tecnica\01 ORÇAMENTOS\05 SERRALHERIAS\05 RECALL - ESQUADRIAS\2025\03 - URBAN SHOPPING</t>
  </si>
  <si>
    <t>CONDOMINIO SQS 304</t>
  </si>
  <si>
    <t>ALUB-24-07-0077-02</t>
  </si>
  <si>
    <t>SMART PARK SUL</t>
  </si>
  <si>
    <t>SOF SUL - CBA</t>
  </si>
  <si>
    <t>NEUDSON</t>
  </si>
  <si>
    <t>ALUB-25-04-0051</t>
  </si>
  <si>
    <t>Tecnica\01 ORÇAMENTOS\01 VAREJO\2025\ALUBRASA\17- SMART PARK SUL\LEVANTAMENTO CBA</t>
  </si>
  <si>
    <t>POE 840 - CONTRAMARCO</t>
  </si>
  <si>
    <t>ALUB-25-04-0054</t>
  </si>
  <si>
    <t>Tecnica\01 ORÇAMENTOS\02 CONSTRUTORA\PAULO OCTÁVIO\POE-840\LEVANTAMENTO CONTRAMARCO</t>
  </si>
  <si>
    <t>POE 830 - EMPREENDIMENTO 7 SUL</t>
  </si>
  <si>
    <t>ALUB-25-04-0060</t>
  </si>
  <si>
    <t>Tecnica\01 ORÇAMENTOS\02 CONSTRUTORA\PAULO OCTÁVIO\POE - 830\LEVANTAMENTO</t>
  </si>
  <si>
    <t>PARQUE NACIONAL</t>
  </si>
  <si>
    <t>BASE ( CONTRAMARCO)</t>
  </si>
  <si>
    <t>ALUB-25-04-0064</t>
  </si>
  <si>
    <t>E-MAIL</t>
  </si>
  <si>
    <t>ALANA</t>
  </si>
  <si>
    <t>BALCÃO</t>
  </si>
  <si>
    <t>ALUB-25-04-0056</t>
  </si>
  <si>
    <t>SOF SUL - CDA</t>
  </si>
  <si>
    <t>ALUB-25-04-0051-01</t>
  </si>
  <si>
    <t>Tecnica\01 ORÇAMENTOS\01 VAREJO\2025\ALUBRASA\17- SMART PARK SUL\LEVANTAMENTO CDA</t>
  </si>
  <si>
    <t>JU LIMA</t>
  </si>
  <si>
    <t>SQS 304 BLOCO J - CARENAGEM</t>
  </si>
  <si>
    <t>ALUB-24-04-0077-03</t>
  </si>
  <si>
    <t>Tecnica\01 ORÇAMENTOS\03 RETROFIT\10 CONDOMINIO SQS 304\CARENAGEM</t>
  </si>
  <si>
    <t>POE 789</t>
  </si>
  <si>
    <t>ALUB-25-04-0061-01</t>
  </si>
  <si>
    <t>Alubrasa\Dep. Tecnico - Documentos\01 ORÇAMENTOS\02 CONSTRUTORA\PAULO OCTÁVIO\POE-789\0061-01\LEVANTAMENTO</t>
  </si>
  <si>
    <t>UNIK ENGENHARIA</t>
  </si>
  <si>
    <t>OBRA SANTA MARIA</t>
  </si>
  <si>
    <t>ALUB-25-04-0044</t>
  </si>
  <si>
    <t>Tecnica\01 ORÇAMENTOS\02 CONSTRUTORA\UNIK CONSTRUTORA\SANTA MARIA</t>
  </si>
  <si>
    <t>ARQ. FABIO LISBOA</t>
  </si>
  <si>
    <t>SQN 304 BLOCO "A"</t>
  </si>
  <si>
    <t>ALUB-25-04-0057</t>
  </si>
  <si>
    <t>62,676,570</t>
  </si>
  <si>
    <t>POLICARBONATO</t>
  </si>
  <si>
    <t>ALUB-25-04-0050</t>
  </si>
  <si>
    <t>Tecnica\01 ORÇAMENTOS\01 VAREJO\2025\ALUBRASA\16 - POLICARBONATO</t>
  </si>
  <si>
    <t>JULIO PAIVA</t>
  </si>
  <si>
    <t>ALUB-25-04-0055</t>
  </si>
  <si>
    <t>Tecnica\01 ORÇAMENTOS\01 VAREJO\2025\ALUBRASA\18- JULIO PAIVA</t>
  </si>
  <si>
    <t>REBRASCON</t>
  </si>
  <si>
    <t>COM. FLORENÇA</t>
  </si>
  <si>
    <t>ALUB-25-04-0059</t>
  </si>
  <si>
    <t>Tecnica\01 ORÇAMENTOS\02 CONSTRUTORA\REBRASCON COSTRUTORA</t>
  </si>
  <si>
    <t>BAY PROTERTIES ARMAZENAGEM</t>
  </si>
  <si>
    <t>COM. LOGÍSTICO BAY PROPERTIES</t>
  </si>
  <si>
    <t>ALUB-25-04-0062</t>
  </si>
  <si>
    <t>KARLA ARQUITETA</t>
  </si>
  <si>
    <t>ALUB-25-03-0038</t>
  </si>
  <si>
    <t>UP RESORTE RESIDENCIAL - TORRE A,B,C</t>
  </si>
  <si>
    <t>ALUB-25-05-0075</t>
  </si>
  <si>
    <t>POE 830 - CBA (REVISÃO)</t>
  </si>
  <si>
    <t>POE 830 - CDA (REVISÃO)</t>
  </si>
  <si>
    <t>ALUB-25-04-0073</t>
  </si>
  <si>
    <t>QUADRA INTER 207</t>
  </si>
  <si>
    <t>INTER INC (FORRO)</t>
  </si>
  <si>
    <t>ALUB-25-08-0104-02</t>
  </si>
  <si>
    <t>CHANCE</t>
  </si>
  <si>
    <t xml:space="preserve">ACM </t>
  </si>
  <si>
    <t>ALUB-25-05-0078</t>
  </si>
  <si>
    <t>HENRIX ARQTETURA</t>
  </si>
  <si>
    <t>CONDOMINIO SQSW 102 BL D</t>
  </si>
  <si>
    <t>ALUB-25-05-0067</t>
  </si>
  <si>
    <t>H-MAB</t>
  </si>
  <si>
    <t xml:space="preserve">SEQUENCIA </t>
  </si>
  <si>
    <t>EVOLUI</t>
  </si>
  <si>
    <t>ANGELA LOSSIO</t>
  </si>
  <si>
    <t>27//05/2025</t>
  </si>
  <si>
    <t>ALUB-25-05-0079</t>
  </si>
  <si>
    <t>HORUS</t>
  </si>
  <si>
    <t>FACHADA HORUS</t>
  </si>
  <si>
    <t>ALUB-25-05-0068</t>
  </si>
  <si>
    <t>PROJETOALUMI</t>
  </si>
  <si>
    <t>https://web.whatsapp.com/</t>
  </si>
  <si>
    <t>DANIELLA LOSSI</t>
  </si>
  <si>
    <t>ALUB-25-05-0080</t>
  </si>
  <si>
    <t>RISARQ</t>
  </si>
  <si>
    <t>BB TECNOLOGIA E SERVIÇO</t>
  </si>
  <si>
    <t>ALUB-25-05-0007</t>
  </si>
  <si>
    <t>RESERVA PARQUE CLUBE</t>
  </si>
  <si>
    <t>REGIÃO ADM AGUAS CLARAS - DF</t>
  </si>
  <si>
    <t>ALUB-25-050072</t>
  </si>
  <si>
    <t>PROFIX</t>
  </si>
  <si>
    <t>JAM 2 EMPREENDIMENTOS</t>
  </si>
  <si>
    <t>ALUB-25-05-0082</t>
  </si>
  <si>
    <t>RODRIGO</t>
  </si>
  <si>
    <t xml:space="preserve">APARECIDA DE GOIANIA </t>
  </si>
  <si>
    <t>ALUB-25-05-0083</t>
  </si>
  <si>
    <t>REDEDOR</t>
  </si>
  <si>
    <t>DF STAR/RITA LOURENÇO -PARTE CRIS</t>
  </si>
  <si>
    <t>ALUB-25-06-0101</t>
  </si>
  <si>
    <t>POE 830 - CBA (REVISÃO ACESSORIOS)</t>
  </si>
  <si>
    <t>CNC SGAS 613 - REVISAO PROPOSTA</t>
  </si>
  <si>
    <t>ALUB-25-02-0021 R01</t>
  </si>
  <si>
    <t>Tecnica\01 ORÇAMENTOS\02 CONSTRUTORA\SUPERA ENGENHARIA\07 CNC SGAS 613\LEVANTAMENTO ESQUADRIAS\ALUB-25-02-0021 R01</t>
  </si>
  <si>
    <t>ALUB-25-06-0091</t>
  </si>
  <si>
    <t>Tecnica\01 ORÇAMENTOS\02 CONSTRUTORA\PAULO OCTÁVIO\POE-840\LEVANTAMENTO ESQUADRIAS 21.07.2025</t>
  </si>
  <si>
    <t>BASE  ESQUADRIAS</t>
  </si>
  <si>
    <t>ALUB-25-05-0084</t>
  </si>
  <si>
    <t>DF STAR/RITA LOURENÇO - PARTE ELIAS</t>
  </si>
  <si>
    <t>ALUB-25-06-0100</t>
  </si>
  <si>
    <t>RICARDO ROCHA</t>
  </si>
  <si>
    <t>HOSPITAL RECANTO DAS EMAS</t>
  </si>
  <si>
    <t>ALUB-25-07-0104</t>
  </si>
  <si>
    <t>SQN 114</t>
  </si>
  <si>
    <t>Tecnica\01 ORÇAMENTOS\03 RETROFIT\OLIMPO CONSTRUTORA\SQN 114 BLOCO G</t>
  </si>
  <si>
    <t>CASA E CRIAÇÃO ARQ</t>
  </si>
  <si>
    <t>RETROFIT - RESIDENCIAL BEM-TE-VI</t>
  </si>
  <si>
    <t>RESIDENCIAL MERI - BA</t>
  </si>
  <si>
    <t>DKP</t>
  </si>
  <si>
    <t>PORTAS VENEZIANAS</t>
  </si>
  <si>
    <t>ALUB-25-07-0110</t>
  </si>
  <si>
    <t>Tecnica\01 ORÇAMENTOS\02 CONSTRUTORA\GRUPO DKP\02 PORTAS VENEZIANAS - RESIDENCIAL SOLAR BRASILIS</t>
  </si>
  <si>
    <t>LOTUS</t>
  </si>
  <si>
    <t>SHS - LOTUS MONUMENTAL</t>
  </si>
  <si>
    <t>ALUB-25-07-0113</t>
  </si>
  <si>
    <t>SQS 212 BLOCO I</t>
  </si>
  <si>
    <t>EM ANDAMENTO</t>
  </si>
  <si>
    <t>ALUB-25-07-0111-01</t>
  </si>
  <si>
    <t>REAL LIVING - PAU BRASIL (TECSTAL)</t>
  </si>
  <si>
    <t>SQSW 504 F</t>
  </si>
  <si>
    <t>ALUB-25-06-0086 R002</t>
  </si>
  <si>
    <t>ALUB-25-07-0035 R002</t>
  </si>
  <si>
    <t>DF STAR/RITA LOURENÇO (alteração)</t>
  </si>
  <si>
    <t>CONTATO</t>
  </si>
  <si>
    <t>CELULAR</t>
  </si>
  <si>
    <t>TERMÔMETRO DE CONFIANÇA DE VENDA</t>
  </si>
  <si>
    <t>STATUS COMERCIAL</t>
  </si>
  <si>
    <t>Valores - ST. TEC</t>
  </si>
  <si>
    <t>LEGENDA</t>
  </si>
  <si>
    <t>DESCRIÇÃO</t>
  </si>
  <si>
    <t>ST. TEC</t>
  </si>
  <si>
    <t>STATUS LEVANTAMENTO TÉCNICO</t>
  </si>
  <si>
    <t>INDEX</t>
  </si>
  <si>
    <t>VALOR ORÇAMENTO (R$)</t>
  </si>
  <si>
    <t>Valores - ST. COM.</t>
  </si>
  <si>
    <t>FECHADO</t>
  </si>
  <si>
    <t>Em negociação</t>
  </si>
  <si>
    <t>Total</t>
  </si>
  <si>
    <t>Fechados</t>
  </si>
  <si>
    <t>STATUS DO LEVANTAMENTO TÉCNICO</t>
  </si>
  <si>
    <t>ST. COM.</t>
  </si>
  <si>
    <t>Perdidos</t>
  </si>
  <si>
    <t>ALUB-25-06-0096 OPC 02 - 01</t>
  </si>
  <si>
    <t>DIOGO (61) 99904-3600</t>
  </si>
  <si>
    <t>RAMON (61) 99974-5535</t>
  </si>
  <si>
    <t>GABRIELA (61) 99669-6869</t>
  </si>
  <si>
    <t>gabriela.galvao@paulooctavio.com.br</t>
  </si>
  <si>
    <t xml:space="preserve">myllena.machado@paulooctavio.com.br </t>
  </si>
  <si>
    <t>SEBASTIÃO (61) 99132-0797</t>
  </si>
  <si>
    <t xml:space="preserve">caio.oliveira@paulooctavio.com.br </t>
  </si>
  <si>
    <t>(61) 3034-4514</t>
  </si>
  <si>
    <t>FÁBIO (61) 99618-3666</t>
  </si>
  <si>
    <t>RICARDO (61) 99963-5300</t>
  </si>
  <si>
    <t>FERNANDO (31) 7112-0074</t>
  </si>
  <si>
    <t>CARLOS ISSA (61) 99944-6367</t>
  </si>
  <si>
    <t xml:space="preserve">carlos.issa@stylos.com.br </t>
  </si>
  <si>
    <t>patricia.ribeiro@afonsofranca.com.br</t>
  </si>
  <si>
    <t xml:space="preserve">stella.lima@supera.eng.br </t>
  </si>
  <si>
    <t>ODILE (61) 99583-6776</t>
  </si>
  <si>
    <t xml:space="preserve">ricardo.rocha@gndconstrucoes.com.br </t>
  </si>
  <si>
    <t xml:space="preserve">daniel.danielbraga@cilicon.com.br </t>
  </si>
  <si>
    <t xml:space="preserve">francisca.oliveira@DKPPar.com.br </t>
  </si>
  <si>
    <t>(61) 3262-0505</t>
  </si>
  <si>
    <t xml:space="preserve">erik.@lotuscidade.com.br </t>
  </si>
  <si>
    <t>(61) 98217-4546</t>
  </si>
  <si>
    <t xml:space="preserve">PARQUE DAS JASMINS </t>
  </si>
  <si>
    <t>RESID. LAGO SUL (VILA RAIÔ) R320</t>
  </si>
  <si>
    <t xml:space="preserve">FECHADO </t>
  </si>
  <si>
    <t>POE 840 - ESQUADRIAS</t>
  </si>
  <si>
    <t xml:space="preserve">EM ANDAMENTO </t>
  </si>
  <si>
    <t xml:space="preserve">BAIXO </t>
  </si>
  <si>
    <t xml:space="preserve">ALTO </t>
  </si>
  <si>
    <t>MÉDIO</t>
  </si>
  <si>
    <t>Status_norm</t>
  </si>
  <si>
    <t xml:space="preserve">RELAÇÃO DE CLIENTES </t>
  </si>
  <si>
    <t>CLIENTE FINAL</t>
  </si>
  <si>
    <t xml:space="preserve">CONSTRUTORA </t>
  </si>
  <si>
    <t xml:space="preserve">SERRALHERIA </t>
  </si>
  <si>
    <t xml:space="preserve">VILLELA E CARVALHO </t>
  </si>
  <si>
    <t xml:space="preserve">ICONIC </t>
  </si>
  <si>
    <t xml:space="preserve">PETRUS ENGENHARIA </t>
  </si>
  <si>
    <t>VOGA PARK SUL</t>
  </si>
  <si>
    <t xml:space="preserve">CONSTRUVIDROS </t>
  </si>
  <si>
    <t>BASE</t>
  </si>
  <si>
    <t xml:space="preserve">HOSPITAL ESTADUAL DE FORMOSA </t>
  </si>
  <si>
    <t xml:space="preserve">CONCEPT PARK SUL - DECORADO CDA </t>
  </si>
  <si>
    <t xml:space="preserve">SÃO SIMAO DE GOIAS </t>
  </si>
  <si>
    <t xml:space="preserve">PORTINHOLAS </t>
  </si>
  <si>
    <t>POE 827</t>
  </si>
  <si>
    <t>APARTAMENTO DECORADO -CBA</t>
  </si>
  <si>
    <t xml:space="preserve">APARTAMENTO DECORADO - CDA </t>
  </si>
  <si>
    <t>ALUB-25-09-0131</t>
  </si>
  <si>
    <t xml:space="preserve">ERICA </t>
  </si>
  <si>
    <t>ALUB-25-08-0127</t>
  </si>
  <si>
    <t xml:space="preserve">CRISTIAN </t>
  </si>
  <si>
    <t>ALUB-25-08-0126</t>
  </si>
  <si>
    <t>ALUB-25-08-0125</t>
  </si>
  <si>
    <t>ALUB-25-09-0130</t>
  </si>
  <si>
    <t xml:space="preserve">MEDIO </t>
  </si>
  <si>
    <t>R$ 75,000,00</t>
  </si>
  <si>
    <t>GUARDA CORPO</t>
  </si>
  <si>
    <t>CONCEPT PARK SUL - GUARDA CORPO</t>
  </si>
  <si>
    <t>ALUB-25-08-0128-01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</si>
</sst>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[$-416]mmmm\-yy;@"/>
    <numFmt numFmtId="165" formatCode="&quot;R$&quot;\ #,##0.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 Light"/>
      <family val="2"/>
    </font>
    <font>
      <b/>
      <sz val="9"/>
      <color theme="1"/>
      <name val="Calibri Light"/>
      <family val="2"/>
    </font>
    <font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 Light"/>
      <family val="2"/>
    </font>
    <font>
      <sz val="12"/>
      <color theme="1"/>
      <name val="Calibri"/>
      <family val="2"/>
      <scheme val="minor"/>
    </font>
    <font>
      <sz val="12"/>
      <color theme="1"/>
      <name val="Calibri 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8D27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theme="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/>
    <xf numFmtId="2" fontId="0" fillId="0" borderId="0" xfId="0" applyNumberFormat="1"/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0" fontId="0" fillId="5" borderId="4" xfId="0" applyFill="1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/>
    </xf>
    <xf numFmtId="2" fontId="0" fillId="5" borderId="4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4" fontId="0" fillId="5" borderId="4" xfId="0" applyNumberFormat="1" applyFill="1" applyBorder="1" applyAlignment="1">
      <alignment horizontal="center" vertical="center"/>
    </xf>
    <xf numFmtId="1" fontId="5" fillId="5" borderId="2" xfId="0" applyNumberFormat="1" applyFont="1" applyFill="1" applyBorder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165" fontId="0" fillId="5" borderId="4" xfId="0" applyNumberForma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1" xfId="1" applyNumberFormat="1" applyFont="1" applyBorder="1" applyAlignment="1">
      <alignment horizontal="center" vertical="center"/>
    </xf>
    <xf numFmtId="0" fontId="0" fillId="4" borderId="0" xfId="0" applyFill="1"/>
    <xf numFmtId="14" fontId="0" fillId="4" borderId="0" xfId="0" applyNumberFormat="1" applyFill="1"/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/>
    <xf numFmtId="0" fontId="0" fillId="4" borderId="0" xfId="0" applyFill="1" applyAlignment="1">
      <alignment horizontal="left"/>
    </xf>
    <xf numFmtId="14" fontId="6" fillId="9" borderId="6" xfId="0" applyNumberFormat="1" applyFont="1" applyFill="1" applyBorder="1"/>
    <xf numFmtId="1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5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5" borderId="5" xfId="0" applyNumberForma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" fontId="0" fillId="0" borderId="0" xfId="0" applyNumberFormat="1"/>
    <xf numFmtId="1" fontId="0" fillId="13" borderId="4" xfId="0" applyNumberFormat="1" applyFill="1" applyBorder="1" applyAlignment="1">
      <alignment horizontal="center" vertical="center"/>
    </xf>
    <xf numFmtId="0" fontId="7" fillId="0" borderId="1" xfId="2" applyBorder="1" applyAlignment="1">
      <alignment horizontal="center" vertical="center"/>
    </xf>
    <xf numFmtId="4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 vertical="center"/>
    </xf>
    <xf numFmtId="14" fontId="8" fillId="0" borderId="9" xfId="0" applyNumberFormat="1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164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" fontId="0" fillId="4" borderId="11" xfId="0" applyNumberForma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5" borderId="1" xfId="0" applyFill="1" applyBorder="1"/>
    <xf numFmtId="164" fontId="0" fillId="14" borderId="1" xfId="0" applyNumberForma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7" fillId="14" borderId="1" xfId="2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2" fillId="5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2" fillId="5" borderId="12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165" fontId="2" fillId="5" borderId="1" xfId="0" applyNumberFormat="1" applyFont="1" applyFill="1" applyBorder="1" applyAlignment="1">
      <alignment horizontal="center" vertical="center"/>
    </xf>
    <xf numFmtId="2" fontId="2" fillId="5" borderId="1" xfId="0" applyNumberFormat="1" applyFont="1" applyFill="1" applyBorder="1" applyAlignment="1">
      <alignment horizontal="center" vertical="center"/>
    </xf>
    <xf numFmtId="1" fontId="2" fillId="13" borderId="1" xfId="0" applyNumberFormat="1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left" vertical="center"/>
    </xf>
    <xf numFmtId="0" fontId="2" fillId="5" borderId="1" xfId="0" applyFont="1" applyFill="1" applyBorder="1"/>
    <xf numFmtId="164" fontId="0" fillId="16" borderId="1" xfId="0" applyNumberForma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14" fontId="0" fillId="16" borderId="1" xfId="0" applyNumberFormat="1" applyFill="1" applyBorder="1" applyAlignment="1">
      <alignment horizontal="center" vertical="center"/>
    </xf>
    <xf numFmtId="14" fontId="0" fillId="16" borderId="12" xfId="0" applyNumberFormat="1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165" fontId="0" fillId="16" borderId="1" xfId="0" applyNumberFormat="1" applyFill="1" applyBorder="1" applyAlignment="1">
      <alignment horizontal="center" vertical="center"/>
    </xf>
    <xf numFmtId="2" fontId="0" fillId="16" borderId="1" xfId="0" applyNumberFormat="1" applyFill="1" applyBorder="1" applyAlignment="1">
      <alignment horizontal="center" vertical="center"/>
    </xf>
    <xf numFmtId="1" fontId="0" fillId="16" borderId="1" xfId="0" applyNumberFormat="1" applyFill="1" applyBorder="1" applyAlignment="1">
      <alignment horizontal="center" vertical="center"/>
    </xf>
    <xf numFmtId="0" fontId="0" fillId="16" borderId="12" xfId="0" applyFill="1" applyBorder="1" applyAlignment="1">
      <alignment horizontal="left" vertical="center"/>
    </xf>
    <xf numFmtId="164" fontId="0" fillId="15" borderId="1" xfId="0" applyNumberForma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14" fontId="0" fillId="15" borderId="1" xfId="0" applyNumberFormat="1" applyFill="1" applyBorder="1" applyAlignment="1">
      <alignment horizontal="center" vertical="center"/>
    </xf>
    <xf numFmtId="14" fontId="0" fillId="15" borderId="12" xfId="0" applyNumberFormat="1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165" fontId="0" fillId="15" borderId="1" xfId="0" applyNumberFormat="1" applyFill="1" applyBorder="1" applyAlignment="1">
      <alignment horizontal="center" vertical="center"/>
    </xf>
    <xf numFmtId="2" fontId="0" fillId="15" borderId="1" xfId="0" applyNumberFormat="1" applyFill="1" applyBorder="1" applyAlignment="1">
      <alignment horizontal="center" vertical="center"/>
    </xf>
    <xf numFmtId="1" fontId="0" fillId="15" borderId="1" xfId="0" applyNumberFormat="1" applyFill="1" applyBorder="1" applyAlignment="1">
      <alignment horizontal="center" vertical="center"/>
    </xf>
    <xf numFmtId="0" fontId="0" fillId="15" borderId="12" xfId="0" applyFill="1" applyBorder="1" applyAlignment="1">
      <alignment horizontal="left" vertical="center"/>
    </xf>
    <xf numFmtId="0" fontId="7" fillId="16" borderId="1" xfId="2" applyFill="1" applyBorder="1" applyAlignment="1">
      <alignment horizontal="center" vertical="center"/>
    </xf>
    <xf numFmtId="0" fontId="7" fillId="15" borderId="1" xfId="2" applyFill="1" applyBorder="1" applyAlignment="1">
      <alignment horizontal="center" vertical="center"/>
    </xf>
    <xf numFmtId="165" fontId="0" fillId="15" borderId="15" xfId="0" applyNumberFormat="1" applyFill="1" applyBorder="1" applyAlignment="1">
      <alignment horizontal="center" vertical="center"/>
    </xf>
    <xf numFmtId="164" fontId="0" fillId="16" borderId="14" xfId="0" applyNumberFormat="1" applyFill="1" applyBorder="1" applyAlignment="1">
      <alignment horizontal="center" vertical="center"/>
    </xf>
    <xf numFmtId="14" fontId="8" fillId="16" borderId="9" xfId="0" applyNumberFormat="1" applyFont="1" applyFill="1" applyBorder="1" applyAlignment="1">
      <alignment horizontal="center"/>
    </xf>
    <xf numFmtId="0" fontId="0" fillId="15" borderId="14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/>
    </xf>
    <xf numFmtId="0" fontId="0" fillId="16" borderId="14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/>
    </xf>
    <xf numFmtId="0" fontId="9" fillId="16" borderId="9" xfId="0" applyFont="1" applyFill="1" applyBorder="1" applyAlignment="1">
      <alignment horizontal="center"/>
    </xf>
    <xf numFmtId="0" fontId="10" fillId="15" borderId="9" xfId="0" applyFont="1" applyFill="1" applyBorder="1" applyAlignment="1">
      <alignment horizontal="center"/>
    </xf>
    <xf numFmtId="14" fontId="0" fillId="16" borderId="14" xfId="0" applyNumberFormat="1" applyFill="1" applyBorder="1" applyAlignment="1">
      <alignment horizontal="center" vertical="center"/>
    </xf>
    <xf numFmtId="165" fontId="0" fillId="16" borderId="14" xfId="0" applyNumberFormat="1" applyFill="1" applyBorder="1" applyAlignment="1">
      <alignment horizontal="center" vertical="center"/>
    </xf>
    <xf numFmtId="2" fontId="0" fillId="16" borderId="14" xfId="0" applyNumberFormat="1" applyFill="1" applyBorder="1" applyAlignment="1">
      <alignment horizontal="center" vertical="center"/>
    </xf>
    <xf numFmtId="1" fontId="0" fillId="16" borderId="14" xfId="0" applyNumberFormat="1" applyFill="1" applyBorder="1" applyAlignment="1">
      <alignment horizontal="center" vertical="center"/>
    </xf>
    <xf numFmtId="0" fontId="0" fillId="16" borderId="16" xfId="0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14" fontId="4" fillId="2" borderId="0" xfId="0" applyNumberFormat="1" applyFont="1" applyFill="1" applyAlignment="1">
      <alignment horizontal="left" vertical="center"/>
    </xf>
  </cellXfs>
  <cellStyles count="3">
    <cellStyle name="Hiperlink" xfId="2" builtinId="8"/>
    <cellStyle name="Moeda" xfId="1" builtinId="4"/>
    <cellStyle name="Normal" xfId="0" builtinId="0"/>
  </cellStyles>
  <dxfs count="30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[$-416]mmmm\-yy;@"/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" formatCode="0"/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theme="3" tint="-0.249977111117893"/>
        </patternFill>
      </fill>
    </dxf>
  </dxfs>
  <tableStyles count="0" defaultTableStyle="TableStyleMedium9" defaultPivotStyle="PivotStyleLight16"/>
  <colors>
    <mruColors>
      <color rgb="FFE8D2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microsoft.com/office/2023/09/relationships/Python" Target="python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54D431-1901-4135-B112-E4045EBB47C3}" name="TabelaOrcamento" displayName="TabelaOrcamento" ref="A6:Y101" totalsRowShown="0" headerRowDxfId="29" dataDxfId="27" headerRowBorderDxfId="28" tableBorderDxfId="26" totalsRowBorderDxfId="25">
  <autoFilter ref="A6:Y101" xr:uid="{AC54D431-1901-4135-B112-E4045EBB47C3}">
    <filterColumn colId="18">
      <filters blank="1"/>
    </filterColumn>
  </autoFilter>
  <sortState xmlns:xlrd2="http://schemas.microsoft.com/office/spreadsheetml/2017/richdata2" ref="A7:W91">
    <sortCondition ref="B6:B91"/>
  </sortState>
  <tableColumns count="25">
    <tableColumn id="23" xr3:uid="{63215AE0-72BE-43F4-8C7D-B72C92EC9B4F}" name="INDEX" dataDxfId="24">
      <calculatedColumnFormula>ROW() - ROW(TabelaOrcamento[[#Headers],[INDEX]])</calculatedColumnFormula>
    </tableColumn>
    <tableColumn id="1" xr3:uid="{7C0BB568-D815-45AD-BFD1-1634E318DC0C}" name="MÊS" dataDxfId="23"/>
    <tableColumn id="2" xr3:uid="{795A2D84-F660-4124-A88A-78B8D2927615}" name="CLIENTE" dataDxfId="22"/>
    <tableColumn id="3" xr3:uid="{78C22C4B-F22E-4714-8ACE-C828003C2881}" name="OBRA" dataDxfId="21"/>
    <tableColumn id="4" xr3:uid="{4CF3988D-FCB9-4D64-B973-9D643975AD30}" name="CONTATO" dataDxfId="20"/>
    <tableColumn id="5" xr3:uid="{A8773A7B-E29A-43F9-8F3F-5E46789DEBA5}" name="CELULAR" dataDxfId="19"/>
    <tableColumn id="6" xr3:uid="{D5915F1B-07A4-4BF6-9F4D-40DDCCA4E2B4}" name="TERMÔMETRO DE CONFIANÇA DE VENDA" dataDxfId="18"/>
    <tableColumn id="7" xr3:uid="{878B0BB6-F70C-4E6A-A01B-BAD7BF661A4E}" name="STATUS COMERCIAL" dataDxfId="17"/>
    <tableColumn id="8" xr3:uid="{7A4FCB19-8B63-4D20-80BA-573461646150}" name="ENTRADA" dataDxfId="16"/>
    <tableColumn id="9" xr3:uid="{3A175CDB-1C10-4323-92C4-40095EA7E0D5}" name="SOLICITANTE" dataDxfId="15"/>
    <tableColumn id="10" xr3:uid="{8421F148-3D0D-4E3B-8064-4DD3ECC825C2}" name="INÍCIO" dataDxfId="14"/>
    <tableColumn id="11" xr3:uid="{BFCBFE46-9FBC-4253-B069-F5FA7A00EE2E}" name="PRAZO DEPTO. TÉCNICO" dataDxfId="13"/>
    <tableColumn id="12" xr3:uid="{6FEE9A6D-401D-42A8-B032-29E9CE72A0CA}" name="STATUS DO LEVANTAMENTO TÉCNICO" dataDxfId="12"/>
    <tableColumn id="13" xr3:uid="{9781D94F-1926-4D86-B68E-F7285FE95D58}" name="CODIGO" dataDxfId="11"/>
    <tableColumn id="14" xr3:uid="{C9C9F65C-92A7-4322-8150-B13F3E335831}" name="CONCLUSÃO DEPTO. TÉCNICO" dataDxfId="10"/>
    <tableColumn id="15" xr3:uid="{5E4AC966-96C3-44AB-99A1-4E2A154B0CBA}" name="ENVIADO AO COMERCIAL" dataDxfId="9"/>
    <tableColumn id="16" xr3:uid="{740E86DD-6BD4-41CA-A993-C1DE5F61090A}" name="TECNICO" dataDxfId="8"/>
    <tableColumn id="17" xr3:uid="{E5F3ABF2-866B-4BAA-9716-1BD5C102AC25}" name="FORNECEDOR" dataDxfId="7"/>
    <tableColumn id="18" xr3:uid="{181DFFEA-8831-4B2E-B257-076EC4A49C04}" name="VALOR ORÇAMENTO (R$)" dataDxfId="6"/>
    <tableColumn id="19" xr3:uid="{70ABA655-2351-4C7C-87AB-63401CDAF3B9}" name="PESO (kg)" dataDxfId="5"/>
    <tableColumn id="20" xr3:uid="{A317BA22-AA44-4645-80C7-153551C378C1}" name="AREA (m²)" dataDxfId="4"/>
    <tableColumn id="21" xr3:uid="{9E962DA3-0DC1-45F8-91AD-C43186078920}" name="REVISAO" dataDxfId="3"/>
    <tableColumn id="22" xr3:uid="{374E6F5E-F5E1-4357-8A25-3837C2F9D3D3}" name="PASTA" dataDxfId="2"/>
    <tableColumn id="24" xr3:uid="{0020E6FF-E9C9-478D-BC3A-4A611C26FEFD}" name="Status_norm" dataDxfId="1">
      <calculatedColumnFormula>TRIM(UPPER(TabelaOrcamento[[#This Row],[STATUS COMERCIAL]]))</calculatedColumnFormula>
    </tableColumn>
    <tableColumn id="25" xr3:uid="{44AECD09-08A6-40AA-BA8D-593887171B34}" name="RELAÇÃO DE CLIENTES 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tella.lima@supera.eng.br" TargetMode="External"/><Relationship Id="rId13" Type="http://schemas.openxmlformats.org/officeDocument/2006/relationships/hyperlink" Target="mailto:erik.@lotuscidade.com.br" TargetMode="External"/><Relationship Id="rId3" Type="http://schemas.openxmlformats.org/officeDocument/2006/relationships/hyperlink" Target="mailto:caio.oliveira@paulooctavio.com.br" TargetMode="External"/><Relationship Id="rId7" Type="http://schemas.openxmlformats.org/officeDocument/2006/relationships/hyperlink" Target="mailto:patricia.ribeiro@afonsofranca.com.br" TargetMode="External"/><Relationship Id="rId12" Type="http://schemas.openxmlformats.org/officeDocument/2006/relationships/hyperlink" Target="mailto:erik.@lotuscidade.com.br" TargetMode="External"/><Relationship Id="rId2" Type="http://schemas.openxmlformats.org/officeDocument/2006/relationships/hyperlink" Target="mailto:myllena.machado@paulooctavio.com.br" TargetMode="External"/><Relationship Id="rId1" Type="http://schemas.openxmlformats.org/officeDocument/2006/relationships/hyperlink" Target="mailto:gabriela.galvao@paulooctavio.com.br" TargetMode="External"/><Relationship Id="rId6" Type="http://schemas.openxmlformats.org/officeDocument/2006/relationships/hyperlink" Target="mailto:patricia.ribeiro@afonsofranca.com.br" TargetMode="External"/><Relationship Id="rId11" Type="http://schemas.openxmlformats.org/officeDocument/2006/relationships/hyperlink" Target="mailto:francisca.oliveira@DKPPar.com.br" TargetMode="External"/><Relationship Id="rId5" Type="http://schemas.openxmlformats.org/officeDocument/2006/relationships/hyperlink" Target="mailto:patricia.ribeiro@afonsofranca.com.br" TargetMode="External"/><Relationship Id="rId10" Type="http://schemas.openxmlformats.org/officeDocument/2006/relationships/hyperlink" Target="mailto:daniel.danielbraga@cilicon.com.br" TargetMode="External"/><Relationship Id="rId4" Type="http://schemas.openxmlformats.org/officeDocument/2006/relationships/hyperlink" Target="mailto:carlos.issa@stylos.com.br" TargetMode="External"/><Relationship Id="rId9" Type="http://schemas.openxmlformats.org/officeDocument/2006/relationships/hyperlink" Target="mailto:ricardo.rocha@gndconstrucoes.com.br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patricia.ribeiro@afonsofranca.com.br" TargetMode="External"/><Relationship Id="rId2" Type="http://schemas.openxmlformats.org/officeDocument/2006/relationships/hyperlink" Target="mailto:stella.lima@supera.eng.br" TargetMode="External"/><Relationship Id="rId1" Type="http://schemas.openxmlformats.org/officeDocument/2006/relationships/hyperlink" Target="mailto:patricia.ribeiro@afonsofranca.com.br" TargetMode="External"/><Relationship Id="rId4" Type="http://schemas.openxmlformats.org/officeDocument/2006/relationships/hyperlink" Target="mailto:erik.@lotuscidade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TQ101"/>
  <sheetViews>
    <sheetView topLeftCell="U52" zoomScale="92" zoomScaleNormal="92" workbookViewId="0">
      <selection activeCell="B6" sqref="B6:Y101"/>
    </sheetView>
  </sheetViews>
  <sheetFormatPr defaultRowHeight="14.4"/>
  <cols>
    <col min="1" max="1" width="14.33203125" style="20" customWidth="1"/>
    <col min="2" max="2" width="18.5546875" bestFit="1" customWidth="1"/>
    <col min="3" max="3" width="38" bestFit="1" customWidth="1"/>
    <col min="4" max="4" width="44.5546875" bestFit="1" customWidth="1"/>
    <col min="5" max="5" width="38.5546875" customWidth="1"/>
    <col min="6" max="6" width="27.5546875" customWidth="1"/>
    <col min="7" max="7" width="37.6640625" customWidth="1"/>
    <col min="8" max="8" width="27.33203125" customWidth="1"/>
    <col min="9" max="9" width="18.109375" style="6" customWidth="1"/>
    <col min="10" max="10" width="13.88671875" customWidth="1"/>
    <col min="11" max="11" width="18.109375" customWidth="1"/>
    <col min="12" max="12" width="23.33203125" style="6" customWidth="1"/>
    <col min="13" max="13" width="52" customWidth="1"/>
    <col min="14" max="14" width="27.33203125" bestFit="1" customWidth="1"/>
    <col min="15" max="15" width="28.109375" style="6" customWidth="1"/>
    <col min="16" max="16" width="24.33203125" style="6" customWidth="1"/>
    <col min="17" max="17" width="13.5546875" customWidth="1"/>
    <col min="18" max="18" width="27.5546875" customWidth="1"/>
    <col min="19" max="19" width="22.88671875" style="25" customWidth="1"/>
    <col min="20" max="20" width="17.109375" style="7" customWidth="1"/>
    <col min="21" max="21" width="14.6640625" style="7" customWidth="1"/>
    <col min="22" max="22" width="13.33203125" style="43" customWidth="1"/>
    <col min="23" max="23" width="125.6640625" style="3" bestFit="1" customWidth="1"/>
    <col min="24" max="24" width="16.109375" bestFit="1" customWidth="1"/>
    <col min="25" max="25" width="23.44140625" bestFit="1" customWidth="1"/>
  </cols>
  <sheetData>
    <row r="1" spans="1:25" ht="21">
      <c r="A1" s="108" t="s">
        <v>0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9"/>
      <c r="P1" s="109"/>
      <c r="Q1" s="108"/>
      <c r="R1" s="108"/>
      <c r="S1" s="108"/>
      <c r="T1" s="108"/>
      <c r="U1" s="108"/>
      <c r="V1" s="108"/>
      <c r="W1" s="108"/>
    </row>
    <row r="2" spans="1:25">
      <c r="B2" s="30"/>
      <c r="C2" s="35"/>
      <c r="D2" s="38" t="s">
        <v>298</v>
      </c>
      <c r="E2" s="37" t="s">
        <v>299</v>
      </c>
      <c r="F2" s="22" t="s">
        <v>302</v>
      </c>
      <c r="G2" s="36" t="s">
        <v>297</v>
      </c>
      <c r="H2" s="30"/>
      <c r="I2" s="30"/>
      <c r="J2" s="30"/>
      <c r="K2" s="30"/>
      <c r="L2" s="31"/>
      <c r="M2" s="30"/>
      <c r="N2" s="30"/>
      <c r="O2" s="31"/>
      <c r="P2" s="31"/>
      <c r="Q2" s="30"/>
      <c r="R2" s="30"/>
      <c r="S2" s="32"/>
      <c r="T2" s="33"/>
      <c r="U2" s="33"/>
      <c r="W2" s="34"/>
    </row>
    <row r="3" spans="1:25">
      <c r="B3" s="30"/>
      <c r="C3" s="21" t="s">
        <v>1</v>
      </c>
      <c r="D3" s="2">
        <f>COUNT(TabelaOrcamento[INDEX])</f>
        <v>95</v>
      </c>
      <c r="E3" s="15">
        <f>COUNTIFS(TabelaOrcamento[Status_norm],"FECHADO")</f>
        <v>12</v>
      </c>
      <c r="F3" s="15">
        <f>COUNTIFS(TabelaOrcamento[Status_norm],"EM ANDAMENTO")</f>
        <v>32</v>
      </c>
      <c r="G3" s="9">
        <f>COUNTIFS(TabelaOrcamento[Status_norm], 'Menu Suspenso'!H3, TabelaOrcamento[INDEX], "&lt;&gt;")</f>
        <v>32</v>
      </c>
      <c r="H3" s="30"/>
      <c r="I3" s="30"/>
      <c r="J3" s="30"/>
      <c r="K3" s="30"/>
      <c r="L3" s="31"/>
      <c r="M3" s="30"/>
      <c r="N3" s="30"/>
      <c r="O3" s="31"/>
      <c r="P3" s="31"/>
      <c r="Q3" s="30"/>
      <c r="R3" s="30"/>
      <c r="S3" s="32"/>
      <c r="T3" s="33"/>
      <c r="U3" s="33"/>
      <c r="W3" s="34"/>
    </row>
    <row r="4" spans="1:25">
      <c r="B4" s="30"/>
      <c r="C4" s="21" t="s">
        <v>2</v>
      </c>
      <c r="D4" s="23" t="str">
        <f>SUMIF(TabelaOrcamento[STATUS DO LEVANTAMENTO TÉCNICO], 'Menu Suspenso'!F2, TabelaOrcamento[PESO (kg)])  &amp; " KG"</f>
        <v>1320391,119 KG</v>
      </c>
      <c r="E4" s="15" t="str">
        <f>SUMIF(TabelaOrcamento[Status_norm], 'Menu Suspenso'!H2, TabelaOrcamento[PESO (kg)])  &amp; " KG"</f>
        <v>89807,913 KG</v>
      </c>
      <c r="F4" s="15" t="str">
        <f>SUMIF(TabelaOrcamento[Status_norm], 'Menu Suspenso'!H4, TabelaOrcamento[PESO (kg)])  &amp; " KG"</f>
        <v>744114,454 KG</v>
      </c>
      <c r="G4" s="8" t="str">
        <f>SUMIF(TabelaOrcamento[Status_norm], 'Menu Suspenso'!H3, TabelaOrcamento[PESO (kg)])  &amp; " KG"</f>
        <v>503953,422 KG</v>
      </c>
      <c r="H4" s="30"/>
      <c r="I4" s="30"/>
      <c r="J4" s="30"/>
      <c r="K4" s="30"/>
      <c r="L4" s="31"/>
      <c r="M4" s="30"/>
      <c r="N4" s="30"/>
      <c r="O4" s="31"/>
      <c r="P4" s="31"/>
      <c r="Q4" s="30"/>
      <c r="R4" s="30"/>
      <c r="S4" s="32"/>
      <c r="T4" s="33"/>
      <c r="U4" s="33"/>
      <c r="W4" s="34"/>
    </row>
    <row r="5" spans="1:25">
      <c r="B5" s="30"/>
      <c r="C5" s="21" t="s">
        <v>3</v>
      </c>
      <c r="D5" s="24">
        <f>SUMIF(TabelaOrcamento[STATUS DO LEVANTAMENTO TÉCNICO], 'Menu Suspenso'!F2, TabelaOrcamento[VALOR ORÇAMENTO (R$)])</f>
        <v>83398238.00000003</v>
      </c>
      <c r="E5" s="28">
        <f>SUMIF(TabelaOrcamento[Status_norm], "FECHADO", TabelaOrcamento[VALOR ORÇAMENTO (R$)])</f>
        <v>6679375.1199999992</v>
      </c>
      <c r="F5" s="28">
        <f>SUMIF(TabelaOrcamento[Status_norm], 'Menu Suspenso'!H4, TabelaOrcamento[VALOR ORÇAMENTO (R$)])</f>
        <v>38495850.299999997</v>
      </c>
      <c r="G5" s="29">
        <f>SUMIF(TabelaOrcamento[Status_norm], 'Menu Suspenso'!H3, TabelaOrcamento[VALOR ORÇAMENTO (R$)])</f>
        <v>39352828.390000008</v>
      </c>
      <c r="H5" s="30"/>
      <c r="I5" s="31"/>
      <c r="J5" s="30"/>
      <c r="K5" s="30"/>
      <c r="L5" s="31"/>
      <c r="M5" s="30"/>
      <c r="N5" s="30"/>
      <c r="O5" s="31"/>
      <c r="P5" s="31"/>
      <c r="Q5" s="30"/>
      <c r="R5" s="30"/>
      <c r="S5" s="32"/>
      <c r="T5" s="33"/>
      <c r="U5" s="33"/>
      <c r="W5" s="34"/>
    </row>
    <row r="6" spans="1:25" ht="23.4" customHeight="1">
      <c r="A6" s="19" t="s">
        <v>293</v>
      </c>
      <c r="B6" s="18" t="s">
        <v>4</v>
      </c>
      <c r="C6" s="11" t="s">
        <v>5</v>
      </c>
      <c r="D6" s="11" t="s">
        <v>6</v>
      </c>
      <c r="E6" s="11" t="s">
        <v>284</v>
      </c>
      <c r="F6" s="11" t="s">
        <v>285</v>
      </c>
      <c r="G6" s="11" t="s">
        <v>286</v>
      </c>
      <c r="H6" s="11" t="s">
        <v>287</v>
      </c>
      <c r="I6" s="12" t="s">
        <v>7</v>
      </c>
      <c r="J6" s="11" t="s">
        <v>8</v>
      </c>
      <c r="K6" s="11" t="s">
        <v>9</v>
      </c>
      <c r="L6" s="12" t="s">
        <v>10</v>
      </c>
      <c r="M6" s="11" t="s">
        <v>300</v>
      </c>
      <c r="N6" s="11" t="s">
        <v>11</v>
      </c>
      <c r="O6" s="12" t="s">
        <v>12</v>
      </c>
      <c r="P6" s="41" t="s">
        <v>13</v>
      </c>
      <c r="Q6" s="39" t="s">
        <v>14</v>
      </c>
      <c r="R6" s="11" t="s">
        <v>15</v>
      </c>
      <c r="S6" s="26" t="s">
        <v>294</v>
      </c>
      <c r="T6" s="13" t="s">
        <v>16</v>
      </c>
      <c r="U6" s="13" t="s">
        <v>17</v>
      </c>
      <c r="V6" s="44" t="s">
        <v>18</v>
      </c>
      <c r="W6" s="14" t="s">
        <v>19</v>
      </c>
      <c r="X6" s="59" t="s">
        <v>334</v>
      </c>
      <c r="Y6" s="59" t="s">
        <v>335</v>
      </c>
    </row>
    <row r="7" spans="1:25" hidden="1">
      <c r="A7" s="20">
        <f>ROW() - ROW(TabelaOrcamento[[#Headers],[INDEX]])</f>
        <v>1</v>
      </c>
      <c r="B7" s="4">
        <v>45474</v>
      </c>
      <c r="C7" s="2" t="s">
        <v>20</v>
      </c>
      <c r="D7" s="2" t="s">
        <v>21</v>
      </c>
      <c r="E7" s="2"/>
      <c r="F7" s="2"/>
      <c r="G7" s="2"/>
      <c r="H7" s="2" t="s">
        <v>65</v>
      </c>
      <c r="I7" s="5">
        <v>45678</v>
      </c>
      <c r="J7" s="2" t="s">
        <v>22</v>
      </c>
      <c r="K7" s="5">
        <v>45692</v>
      </c>
      <c r="L7" s="5">
        <v>45687</v>
      </c>
      <c r="M7" s="2" t="s">
        <v>23</v>
      </c>
      <c r="N7" s="2" t="s">
        <v>24</v>
      </c>
      <c r="O7" s="5">
        <v>45692</v>
      </c>
      <c r="P7" s="42">
        <v>45692</v>
      </c>
      <c r="Q7" s="40" t="s">
        <v>25</v>
      </c>
      <c r="R7" s="2" t="s">
        <v>26</v>
      </c>
      <c r="S7" s="27">
        <v>7112448.3600000003</v>
      </c>
      <c r="T7" s="8">
        <v>91977.7</v>
      </c>
      <c r="U7" s="8">
        <v>17</v>
      </c>
      <c r="V7" s="9">
        <v>1</v>
      </c>
      <c r="W7" s="10" t="s">
        <v>27</v>
      </c>
      <c r="X7" s="2" t="str">
        <f>TRIM(UPPER(TabelaOrcamento[[#This Row],[STATUS COMERCIAL]]))</f>
        <v>CANCELADO</v>
      </c>
      <c r="Y7" s="2" t="s">
        <v>337</v>
      </c>
    </row>
    <row r="8" spans="1:25" hidden="1">
      <c r="A8" s="20">
        <f>ROW() - ROW(TabelaOrcamento[[#Headers],[INDEX]])</f>
        <v>2</v>
      </c>
      <c r="B8" s="4">
        <v>45658</v>
      </c>
      <c r="C8" s="2" t="s">
        <v>74</v>
      </c>
      <c r="D8" s="2" t="s">
        <v>75</v>
      </c>
      <c r="E8" s="2"/>
      <c r="F8" s="2"/>
      <c r="G8" s="2"/>
      <c r="H8" s="2" t="s">
        <v>65</v>
      </c>
      <c r="I8" s="5">
        <v>45835</v>
      </c>
      <c r="J8" s="2" t="s">
        <v>76</v>
      </c>
      <c r="K8" s="5">
        <v>45847</v>
      </c>
      <c r="L8" s="5">
        <v>45686</v>
      </c>
      <c r="M8" s="2" t="s">
        <v>23</v>
      </c>
      <c r="N8" s="2" t="s">
        <v>77</v>
      </c>
      <c r="O8" s="5">
        <v>45848</v>
      </c>
      <c r="P8" s="42">
        <v>45848</v>
      </c>
      <c r="Q8" s="40" t="s">
        <v>55</v>
      </c>
      <c r="R8" s="2" t="s">
        <v>36</v>
      </c>
      <c r="S8" s="27">
        <v>2295223.94</v>
      </c>
      <c r="T8" s="8">
        <v>31025.24</v>
      </c>
      <c r="U8" s="8">
        <v>3031.9</v>
      </c>
      <c r="V8" s="9">
        <v>1</v>
      </c>
      <c r="W8" s="10" t="s">
        <v>78</v>
      </c>
      <c r="X8" s="2" t="str">
        <f>TRIM(UPPER(TabelaOrcamento[[#This Row],[STATUS COMERCIAL]]))</f>
        <v>CANCELADO</v>
      </c>
      <c r="Y8" s="2" t="s">
        <v>338</v>
      </c>
    </row>
    <row r="9" spans="1:25" hidden="1">
      <c r="A9" s="20">
        <f>ROW() - ROW(TabelaOrcamento[[#Headers],[INDEX]])</f>
        <v>3</v>
      </c>
      <c r="B9" s="4">
        <v>45658</v>
      </c>
      <c r="C9" s="2" t="s">
        <v>33</v>
      </c>
      <c r="D9" s="2" t="s">
        <v>34</v>
      </c>
      <c r="E9" s="2"/>
      <c r="F9" s="2"/>
      <c r="G9" s="2"/>
      <c r="H9" s="2" t="s">
        <v>65</v>
      </c>
      <c r="I9" s="5">
        <v>45665</v>
      </c>
      <c r="J9" s="2" t="s">
        <v>30</v>
      </c>
      <c r="K9" s="5">
        <v>45667</v>
      </c>
      <c r="L9" s="5">
        <v>45670</v>
      </c>
      <c r="M9" s="2" t="s">
        <v>23</v>
      </c>
      <c r="N9" s="2" t="s">
        <v>35</v>
      </c>
      <c r="O9" s="5">
        <v>45670</v>
      </c>
      <c r="P9" s="42">
        <v>45670</v>
      </c>
      <c r="Q9" s="40" t="s">
        <v>25</v>
      </c>
      <c r="R9" s="2" t="s">
        <v>36</v>
      </c>
      <c r="S9" s="27">
        <v>95481.12</v>
      </c>
      <c r="T9" s="8">
        <v>1164.7</v>
      </c>
      <c r="U9" s="8">
        <v>146.11000000000001</v>
      </c>
      <c r="V9" s="9">
        <v>1</v>
      </c>
      <c r="W9" s="10" t="s">
        <v>37</v>
      </c>
      <c r="X9" s="2" t="str">
        <f>TRIM(UPPER(TabelaOrcamento[[#This Row],[STATUS COMERCIAL]]))</f>
        <v>CANCELADO</v>
      </c>
      <c r="Y9" s="2" t="s">
        <v>337</v>
      </c>
    </row>
    <row r="10" spans="1:25">
      <c r="A10" s="20">
        <f>ROW() - ROW(TabelaOrcamento[[#Headers],[INDEX]])</f>
        <v>4</v>
      </c>
      <c r="B10" s="4">
        <v>45658</v>
      </c>
      <c r="C10" s="2" t="s">
        <v>38</v>
      </c>
      <c r="D10" s="2" t="s">
        <v>39</v>
      </c>
      <c r="E10" s="2"/>
      <c r="F10" s="2"/>
      <c r="G10" s="2"/>
      <c r="H10" s="2" t="s">
        <v>65</v>
      </c>
      <c r="I10" s="5">
        <v>45671</v>
      </c>
      <c r="J10" s="2" t="s">
        <v>30</v>
      </c>
      <c r="K10" s="5">
        <v>45678</v>
      </c>
      <c r="L10" s="5">
        <v>45684</v>
      </c>
      <c r="M10" s="2" t="s">
        <v>23</v>
      </c>
      <c r="N10" s="2" t="s">
        <v>40</v>
      </c>
      <c r="O10" s="5">
        <v>45684</v>
      </c>
      <c r="P10" s="42">
        <v>45685</v>
      </c>
      <c r="Q10" s="40" t="s">
        <v>41</v>
      </c>
      <c r="R10" s="2" t="s">
        <v>42</v>
      </c>
      <c r="S10" s="27"/>
      <c r="T10" s="8">
        <v>7429.26</v>
      </c>
      <c r="U10" s="8">
        <v>573.44000000000005</v>
      </c>
      <c r="V10" s="9">
        <v>0</v>
      </c>
      <c r="W10" s="10" t="s">
        <v>43</v>
      </c>
      <c r="X10" s="2" t="str">
        <f>TRIM(UPPER(TabelaOrcamento[[#This Row],[STATUS COMERCIAL]]))</f>
        <v>CANCELADO</v>
      </c>
      <c r="Y10" s="2"/>
    </row>
    <row r="11" spans="1:25" hidden="1">
      <c r="A11" s="20">
        <f>ROW() - ROW(TabelaOrcamento[[#Headers],[INDEX]])</f>
        <v>5</v>
      </c>
      <c r="B11" s="4">
        <v>45658</v>
      </c>
      <c r="C11" s="2" t="s">
        <v>44</v>
      </c>
      <c r="D11" s="2" t="s">
        <v>45</v>
      </c>
      <c r="E11" s="45" t="s">
        <v>316</v>
      </c>
      <c r="F11" s="2" t="s">
        <v>315</v>
      </c>
      <c r="G11" s="2"/>
      <c r="H11" s="2" t="s">
        <v>328</v>
      </c>
      <c r="I11" s="5">
        <v>45672</v>
      </c>
      <c r="J11" s="2" t="s">
        <v>30</v>
      </c>
      <c r="K11" s="5">
        <v>45684</v>
      </c>
      <c r="L11" s="5">
        <v>45687</v>
      </c>
      <c r="M11" s="2" t="s">
        <v>23</v>
      </c>
      <c r="N11" s="2" t="s">
        <v>46</v>
      </c>
      <c r="O11" s="5">
        <v>45692</v>
      </c>
      <c r="P11" s="42">
        <v>45692</v>
      </c>
      <c r="Q11" s="40" t="s">
        <v>41</v>
      </c>
      <c r="R11" s="2" t="s">
        <v>42</v>
      </c>
      <c r="S11" s="27">
        <v>1100000</v>
      </c>
      <c r="T11" s="8">
        <v>4654.2449999999999</v>
      </c>
      <c r="U11" s="8">
        <v>2001.57</v>
      </c>
      <c r="V11" s="9">
        <v>0</v>
      </c>
      <c r="W11" s="10" t="s">
        <v>47</v>
      </c>
      <c r="X11" s="2" t="str">
        <f>TRIM(UPPER(TabelaOrcamento[[#This Row],[STATUS COMERCIAL]]))</f>
        <v>FECHADO</v>
      </c>
      <c r="Y11" s="2" t="s">
        <v>337</v>
      </c>
    </row>
    <row r="12" spans="1:25">
      <c r="A12" s="20">
        <f>ROW() - ROW(TabelaOrcamento[[#Headers],[INDEX]])</f>
        <v>6</v>
      </c>
      <c r="B12" s="4">
        <v>45658</v>
      </c>
      <c r="C12" s="2" t="s">
        <v>28</v>
      </c>
      <c r="D12" s="2" t="s">
        <v>29</v>
      </c>
      <c r="E12" s="2"/>
      <c r="F12" s="2"/>
      <c r="G12" s="2" t="s">
        <v>331</v>
      </c>
      <c r="H12" s="2" t="s">
        <v>65</v>
      </c>
      <c r="I12" s="5">
        <v>45663</v>
      </c>
      <c r="J12" s="2" t="s">
        <v>30</v>
      </c>
      <c r="K12" s="5">
        <v>45663</v>
      </c>
      <c r="L12" s="5">
        <v>45664</v>
      </c>
      <c r="M12" s="2" t="s">
        <v>23</v>
      </c>
      <c r="N12" s="2" t="s">
        <v>31</v>
      </c>
      <c r="O12" s="5">
        <v>45664</v>
      </c>
      <c r="P12" s="42">
        <v>45664</v>
      </c>
      <c r="Q12" s="40" t="s">
        <v>25</v>
      </c>
      <c r="R12" s="2" t="s">
        <v>26</v>
      </c>
      <c r="S12" s="27"/>
      <c r="T12" s="8">
        <v>9111.4560000000001</v>
      </c>
      <c r="U12" s="8">
        <v>632.02</v>
      </c>
      <c r="V12" s="9">
        <v>0</v>
      </c>
      <c r="W12" s="10" t="s">
        <v>32</v>
      </c>
      <c r="X12" s="2" t="str">
        <f>TRIM(UPPER(TabelaOrcamento[[#This Row],[STATUS COMERCIAL]]))</f>
        <v>CANCELADO</v>
      </c>
      <c r="Y12" s="2" t="s">
        <v>337</v>
      </c>
    </row>
    <row r="13" spans="1:25" hidden="1">
      <c r="A13" s="20">
        <f>ROW() - ROW(TabelaOrcamento[[#Headers],[INDEX]])</f>
        <v>7</v>
      </c>
      <c r="B13" s="4">
        <v>45658</v>
      </c>
      <c r="C13" s="2" t="s">
        <v>70</v>
      </c>
      <c r="D13" s="2" t="s">
        <v>71</v>
      </c>
      <c r="E13" s="2"/>
      <c r="F13" s="2"/>
      <c r="G13" s="2" t="s">
        <v>332</v>
      </c>
      <c r="H13" s="2" t="s">
        <v>330</v>
      </c>
      <c r="I13" s="5">
        <v>45736</v>
      </c>
      <c r="J13" s="2" t="s">
        <v>30</v>
      </c>
      <c r="K13" s="5">
        <v>45700</v>
      </c>
      <c r="L13" s="5">
        <v>45741</v>
      </c>
      <c r="M13" s="2" t="s">
        <v>23</v>
      </c>
      <c r="N13" s="2" t="s">
        <v>72</v>
      </c>
      <c r="O13" s="5">
        <v>45853</v>
      </c>
      <c r="P13" s="5">
        <v>45853</v>
      </c>
      <c r="Q13" s="2" t="s">
        <v>55</v>
      </c>
      <c r="R13" s="2" t="s">
        <v>36</v>
      </c>
      <c r="S13" s="27">
        <v>4815526.6900000004</v>
      </c>
      <c r="T13" s="8">
        <v>64434.877999999997</v>
      </c>
      <c r="U13" s="8">
        <v>11300.85</v>
      </c>
      <c r="V13" s="9">
        <v>4</v>
      </c>
      <c r="W13" s="10" t="s">
        <v>73</v>
      </c>
      <c r="X13" s="2" t="str">
        <f>TRIM(UPPER(TabelaOrcamento[[#This Row],[STATUS COMERCIAL]]))</f>
        <v>EM ANDAMENTO</v>
      </c>
      <c r="Y13" s="2" t="s">
        <v>337</v>
      </c>
    </row>
    <row r="14" spans="1:25" hidden="1">
      <c r="A14" s="20">
        <f>ROW() - ROW(TabelaOrcamento[[#Headers],[INDEX]])</f>
        <v>8</v>
      </c>
      <c r="B14" s="4">
        <v>45658</v>
      </c>
      <c r="C14" s="2" t="s">
        <v>52</v>
      </c>
      <c r="D14" s="2" t="s">
        <v>53</v>
      </c>
      <c r="E14" s="45" t="s">
        <v>307</v>
      </c>
      <c r="F14" s="2" t="s">
        <v>306</v>
      </c>
      <c r="G14" s="2"/>
      <c r="H14" s="2" t="s">
        <v>328</v>
      </c>
      <c r="I14" s="5">
        <v>45674</v>
      </c>
      <c r="J14" s="2" t="s">
        <v>30</v>
      </c>
      <c r="K14" s="5">
        <v>45770</v>
      </c>
      <c r="L14" s="5">
        <v>45772</v>
      </c>
      <c r="M14" s="2" t="s">
        <v>23</v>
      </c>
      <c r="N14" s="2" t="s">
        <v>54</v>
      </c>
      <c r="O14" s="5">
        <v>45772</v>
      </c>
      <c r="P14" s="5">
        <v>45772</v>
      </c>
      <c r="Q14" s="2" t="s">
        <v>55</v>
      </c>
      <c r="R14" s="2" t="s">
        <v>36</v>
      </c>
      <c r="S14" s="27">
        <v>3000000</v>
      </c>
      <c r="T14" s="8">
        <v>47966.94</v>
      </c>
      <c r="U14" s="8">
        <v>3558.04</v>
      </c>
      <c r="V14" s="9">
        <v>2</v>
      </c>
      <c r="W14" s="10" t="s">
        <v>56</v>
      </c>
      <c r="X14" s="2" t="str">
        <f>TRIM(UPPER(TabelaOrcamento[[#This Row],[STATUS COMERCIAL]]))</f>
        <v>FECHADO</v>
      </c>
      <c r="Y14" s="2" t="s">
        <v>337</v>
      </c>
    </row>
    <row r="15" spans="1:25" hidden="1">
      <c r="A15" s="20">
        <f>ROW() - ROW(TabelaOrcamento[[#Headers],[INDEX]])</f>
        <v>9</v>
      </c>
      <c r="B15" s="4">
        <v>45658</v>
      </c>
      <c r="C15" s="2" t="s">
        <v>66</v>
      </c>
      <c r="D15" s="2" t="s">
        <v>67</v>
      </c>
      <c r="E15" s="2"/>
      <c r="F15" s="2"/>
      <c r="G15" s="2"/>
      <c r="H15" s="2" t="s">
        <v>328</v>
      </c>
      <c r="I15" s="5">
        <v>45685</v>
      </c>
      <c r="J15" s="2" t="s">
        <v>22</v>
      </c>
      <c r="K15" s="5">
        <v>45691</v>
      </c>
      <c r="L15" s="5">
        <v>45691</v>
      </c>
      <c r="M15" s="2" t="s">
        <v>23</v>
      </c>
      <c r="N15" s="2" t="s">
        <v>68</v>
      </c>
      <c r="O15" s="5">
        <v>45691</v>
      </c>
      <c r="P15" s="5">
        <v>45692</v>
      </c>
      <c r="Q15" s="2" t="s">
        <v>25</v>
      </c>
      <c r="R15" s="2" t="s">
        <v>26</v>
      </c>
      <c r="S15" s="27">
        <v>2241607.7999999998</v>
      </c>
      <c r="T15" s="8">
        <v>27560.6</v>
      </c>
      <c r="U15" s="8">
        <v>341.89</v>
      </c>
      <c r="V15" s="9">
        <v>1</v>
      </c>
      <c r="W15" s="10" t="s">
        <v>69</v>
      </c>
      <c r="X15" s="2" t="str">
        <f>TRIM(UPPER(TabelaOrcamento[[#This Row],[STATUS COMERCIAL]]))</f>
        <v>FECHADO</v>
      </c>
      <c r="Y15" s="2" t="s">
        <v>337</v>
      </c>
    </row>
    <row r="16" spans="1:25">
      <c r="A16" s="20">
        <f>ROW() - ROW(TabelaOrcamento[[#Headers],[INDEX]])</f>
        <v>10</v>
      </c>
      <c r="B16" s="4">
        <v>45658</v>
      </c>
      <c r="C16" s="2" t="s">
        <v>61</v>
      </c>
      <c r="D16" s="2" t="s">
        <v>62</v>
      </c>
      <c r="E16" s="2"/>
      <c r="F16" s="2"/>
      <c r="G16" s="2"/>
      <c r="H16" s="2" t="s">
        <v>65</v>
      </c>
      <c r="I16" s="5">
        <v>45681</v>
      </c>
      <c r="J16" s="2" t="s">
        <v>30</v>
      </c>
      <c r="K16" s="5">
        <v>45684</v>
      </c>
      <c r="L16" s="5">
        <v>45694</v>
      </c>
      <c r="M16" s="2" t="s">
        <v>23</v>
      </c>
      <c r="N16" s="2" t="s">
        <v>63</v>
      </c>
      <c r="O16" s="5">
        <v>45700</v>
      </c>
      <c r="P16" s="5">
        <v>45700</v>
      </c>
      <c r="Q16" s="2" t="s">
        <v>55</v>
      </c>
      <c r="R16" s="2" t="s">
        <v>42</v>
      </c>
      <c r="S16" s="27"/>
      <c r="T16" s="8">
        <v>49027.883999999998</v>
      </c>
      <c r="U16" s="8">
        <v>5573.89</v>
      </c>
      <c r="V16" s="9">
        <v>0</v>
      </c>
      <c r="W16" s="10" t="s">
        <v>64</v>
      </c>
      <c r="X16" s="2" t="str">
        <f>TRIM(UPPER(TabelaOrcamento[[#This Row],[STATUS COMERCIAL]]))</f>
        <v>CANCELADO</v>
      </c>
      <c r="Y16" s="2" t="s">
        <v>336</v>
      </c>
    </row>
    <row r="17" spans="1:25" hidden="1">
      <c r="A17" s="20">
        <f>ROW() - ROW(TabelaOrcamento[[#Headers],[INDEX]])</f>
        <v>11</v>
      </c>
      <c r="B17" s="4">
        <v>45658</v>
      </c>
      <c r="C17" s="2" t="s">
        <v>57</v>
      </c>
      <c r="D17" s="2" t="s">
        <v>58</v>
      </c>
      <c r="E17" s="2"/>
      <c r="F17" s="2"/>
      <c r="G17" s="2"/>
      <c r="H17" s="2" t="s">
        <v>65</v>
      </c>
      <c r="I17" s="5">
        <v>45681</v>
      </c>
      <c r="J17" s="2" t="s">
        <v>22</v>
      </c>
      <c r="K17" s="5">
        <v>45692</v>
      </c>
      <c r="L17" s="5">
        <v>45694</v>
      </c>
      <c r="M17" s="2" t="s">
        <v>23</v>
      </c>
      <c r="N17" s="2" t="s">
        <v>59</v>
      </c>
      <c r="O17" s="5">
        <v>45698</v>
      </c>
      <c r="P17" s="5">
        <v>45699</v>
      </c>
      <c r="Q17" s="2" t="s">
        <v>41</v>
      </c>
      <c r="R17" s="2" t="s">
        <v>42</v>
      </c>
      <c r="S17" s="27">
        <v>846078.64</v>
      </c>
      <c r="T17" s="8">
        <v>18588.366000000002</v>
      </c>
      <c r="U17" s="8">
        <v>1612.24</v>
      </c>
      <c r="V17" s="9">
        <v>0</v>
      </c>
      <c r="W17" s="10" t="s">
        <v>60</v>
      </c>
      <c r="X17" s="2" t="str">
        <f>TRIM(UPPER(TabelaOrcamento[[#This Row],[STATUS COMERCIAL]]))</f>
        <v>CANCELADO</v>
      </c>
      <c r="Y17" s="2" t="s">
        <v>337</v>
      </c>
    </row>
    <row r="18" spans="1:25" hidden="1">
      <c r="A18" s="20">
        <f>ROW() - ROW(TabelaOrcamento[[#Headers],[INDEX]])</f>
        <v>12</v>
      </c>
      <c r="B18" s="4">
        <v>45658</v>
      </c>
      <c r="C18" s="2" t="s">
        <v>48</v>
      </c>
      <c r="D18" s="2" t="s">
        <v>49</v>
      </c>
      <c r="E18" s="2"/>
      <c r="F18" s="2" t="s">
        <v>325</v>
      </c>
      <c r="G18" s="2" t="s">
        <v>359</v>
      </c>
      <c r="H18" s="2" t="s">
        <v>330</v>
      </c>
      <c r="I18" s="5">
        <v>45673</v>
      </c>
      <c r="J18" s="2" t="s">
        <v>30</v>
      </c>
      <c r="K18" s="5">
        <v>45677</v>
      </c>
      <c r="L18" s="5">
        <v>45677</v>
      </c>
      <c r="M18" s="2" t="s">
        <v>23</v>
      </c>
      <c r="N18" s="2" t="s">
        <v>50</v>
      </c>
      <c r="O18" s="5">
        <v>45679</v>
      </c>
      <c r="P18" s="5">
        <v>45679</v>
      </c>
      <c r="Q18" s="2" t="s">
        <v>25</v>
      </c>
      <c r="R18" s="2" t="s">
        <v>26</v>
      </c>
      <c r="S18" s="27">
        <v>1239664.82</v>
      </c>
      <c r="T18" s="8">
        <v>13012.28</v>
      </c>
      <c r="U18" s="8">
        <v>5140.9399999999996</v>
      </c>
      <c r="V18" s="9">
        <v>0</v>
      </c>
      <c r="W18" s="10" t="s">
        <v>51</v>
      </c>
      <c r="X18" s="2" t="str">
        <f>TRIM(UPPER(TabelaOrcamento[[#This Row],[STATUS COMERCIAL]]))</f>
        <v>EM ANDAMENTO</v>
      </c>
      <c r="Y18" s="2" t="s">
        <v>336</v>
      </c>
    </row>
    <row r="19" spans="1:25">
      <c r="A19" s="20">
        <f>ROW() - ROW(TabelaOrcamento[[#Headers],[INDEX]])</f>
        <v>13</v>
      </c>
      <c r="B19" s="4">
        <v>45689</v>
      </c>
      <c r="C19" s="2" t="s">
        <v>109</v>
      </c>
      <c r="D19" s="2" t="s">
        <v>110</v>
      </c>
      <c r="E19" s="2"/>
      <c r="F19" s="2"/>
      <c r="G19" s="2"/>
      <c r="H19" s="2" t="s">
        <v>65</v>
      </c>
      <c r="I19" s="5">
        <v>45705</v>
      </c>
      <c r="J19" s="2" t="s">
        <v>30</v>
      </c>
      <c r="K19" s="5">
        <v>45705</v>
      </c>
      <c r="L19" s="5">
        <v>45717</v>
      </c>
      <c r="M19" s="2" t="s">
        <v>65</v>
      </c>
      <c r="N19" s="2" t="s">
        <v>111</v>
      </c>
      <c r="O19" s="5"/>
      <c r="P19" s="5"/>
      <c r="Q19" s="2" t="s">
        <v>41</v>
      </c>
      <c r="R19" s="2" t="s">
        <v>42</v>
      </c>
      <c r="S19" s="27"/>
      <c r="T19" s="8"/>
      <c r="U19" s="8"/>
      <c r="V19" s="9">
        <v>1</v>
      </c>
      <c r="W19" s="10" t="s">
        <v>112</v>
      </c>
      <c r="X19" s="2" t="str">
        <f>TRIM(UPPER(TabelaOrcamento[[#This Row],[STATUS COMERCIAL]]))</f>
        <v>CANCELADO</v>
      </c>
      <c r="Y19" s="2" t="s">
        <v>337</v>
      </c>
    </row>
    <row r="20" spans="1:25">
      <c r="A20" s="20">
        <f>ROW() - ROW(TabelaOrcamento[[#Headers],[INDEX]])</f>
        <v>14</v>
      </c>
      <c r="B20" s="4">
        <v>45689</v>
      </c>
      <c r="C20" s="2" t="s">
        <v>113</v>
      </c>
      <c r="D20" s="2" t="s">
        <v>114</v>
      </c>
      <c r="E20" s="2"/>
      <c r="F20" s="2"/>
      <c r="G20" s="2"/>
      <c r="H20" s="2" t="s">
        <v>65</v>
      </c>
      <c r="I20" s="5">
        <v>45708</v>
      </c>
      <c r="J20" s="2" t="s">
        <v>30</v>
      </c>
      <c r="K20" s="5">
        <v>45756</v>
      </c>
      <c r="L20" s="5"/>
      <c r="M20" s="2" t="s">
        <v>65</v>
      </c>
      <c r="N20" s="2" t="s">
        <v>115</v>
      </c>
      <c r="O20" s="5"/>
      <c r="P20" s="5"/>
      <c r="Q20" s="2" t="s">
        <v>41</v>
      </c>
      <c r="R20" s="2" t="s">
        <v>42</v>
      </c>
      <c r="S20" s="27"/>
      <c r="T20" s="8"/>
      <c r="U20" s="8"/>
      <c r="V20" s="9">
        <v>0</v>
      </c>
      <c r="W20" s="10"/>
      <c r="X20" s="2" t="str">
        <f>TRIM(UPPER(TabelaOrcamento[[#This Row],[STATUS COMERCIAL]]))</f>
        <v>CANCELADO</v>
      </c>
      <c r="Y20" s="2" t="s">
        <v>337</v>
      </c>
    </row>
    <row r="21" spans="1:25">
      <c r="A21" s="20">
        <f>ROW() - ROW(TabelaOrcamento[[#Headers],[INDEX]])</f>
        <v>15</v>
      </c>
      <c r="B21" s="4">
        <v>45689</v>
      </c>
      <c r="C21" s="2" t="s">
        <v>116</v>
      </c>
      <c r="D21" s="2" t="s">
        <v>117</v>
      </c>
      <c r="E21" s="2"/>
      <c r="F21" s="2"/>
      <c r="G21" s="2"/>
      <c r="H21" s="2" t="s">
        <v>65</v>
      </c>
      <c r="I21" s="5">
        <v>45708</v>
      </c>
      <c r="J21" s="2" t="s">
        <v>118</v>
      </c>
      <c r="K21" s="5">
        <v>45722</v>
      </c>
      <c r="L21" s="5">
        <v>45728</v>
      </c>
      <c r="M21" s="2" t="s">
        <v>23</v>
      </c>
      <c r="N21" s="2" t="s">
        <v>119</v>
      </c>
      <c r="O21" s="5">
        <v>45734</v>
      </c>
      <c r="P21" s="5">
        <v>45734</v>
      </c>
      <c r="Q21" s="2" t="s">
        <v>25</v>
      </c>
      <c r="R21" s="2" t="s">
        <v>42</v>
      </c>
      <c r="S21" s="27"/>
      <c r="T21" s="8">
        <v>77788.62</v>
      </c>
      <c r="U21" s="8">
        <v>5335.74</v>
      </c>
      <c r="V21" s="9">
        <v>0</v>
      </c>
      <c r="W21" s="10"/>
      <c r="X21" s="2" t="str">
        <f>TRIM(UPPER(TabelaOrcamento[[#This Row],[STATUS COMERCIAL]]))</f>
        <v>CANCELADO</v>
      </c>
      <c r="Y21" s="2" t="s">
        <v>337</v>
      </c>
    </row>
    <row r="22" spans="1:25">
      <c r="A22" s="20">
        <f>ROW() - ROW(TabelaOrcamento[[#Headers],[INDEX]])</f>
        <v>16</v>
      </c>
      <c r="B22" s="4">
        <v>45689</v>
      </c>
      <c r="C22" s="2" t="s">
        <v>93</v>
      </c>
      <c r="D22" s="2" t="s">
        <v>94</v>
      </c>
      <c r="E22" s="2"/>
      <c r="F22" s="2"/>
      <c r="G22" s="2"/>
      <c r="H22" s="2" t="s">
        <v>65</v>
      </c>
      <c r="I22" s="5">
        <v>45698</v>
      </c>
      <c r="J22" s="2" t="s">
        <v>30</v>
      </c>
      <c r="K22" s="5"/>
      <c r="L22" s="5">
        <v>45713</v>
      </c>
      <c r="M22" s="2" t="s">
        <v>65</v>
      </c>
      <c r="N22" s="2"/>
      <c r="O22" s="5"/>
      <c r="P22" s="5"/>
      <c r="Q22" s="2"/>
      <c r="R22" s="2"/>
      <c r="S22" s="27"/>
      <c r="T22" s="8"/>
      <c r="U22" s="8"/>
      <c r="V22" s="9">
        <v>0</v>
      </c>
      <c r="W22" s="10" t="s">
        <v>95</v>
      </c>
      <c r="X22" s="2" t="str">
        <f>TRIM(UPPER(TabelaOrcamento[[#This Row],[STATUS COMERCIAL]]))</f>
        <v>CANCELADO</v>
      </c>
      <c r="Y22" s="2" t="s">
        <v>337</v>
      </c>
    </row>
    <row r="23" spans="1:25" hidden="1">
      <c r="A23" s="20">
        <f>ROW() - ROW(TabelaOrcamento[[#Headers],[INDEX]])</f>
        <v>17</v>
      </c>
      <c r="B23" s="4">
        <v>45689</v>
      </c>
      <c r="C23" s="2" t="s">
        <v>86</v>
      </c>
      <c r="D23" s="2" t="s">
        <v>87</v>
      </c>
      <c r="E23" s="2"/>
      <c r="F23" s="2"/>
      <c r="G23" s="2" t="s">
        <v>332</v>
      </c>
      <c r="H23" s="2" t="s">
        <v>330</v>
      </c>
      <c r="I23" s="5">
        <v>45695</v>
      </c>
      <c r="J23" s="2" t="s">
        <v>30</v>
      </c>
      <c r="K23" s="5">
        <v>45730</v>
      </c>
      <c r="L23" s="5">
        <v>45707</v>
      </c>
      <c r="M23" s="2" t="s">
        <v>23</v>
      </c>
      <c r="N23" s="2" t="s">
        <v>88</v>
      </c>
      <c r="O23" s="5">
        <v>45741</v>
      </c>
      <c r="P23" s="5">
        <v>45741</v>
      </c>
      <c r="Q23" s="2" t="s">
        <v>41</v>
      </c>
      <c r="R23" s="2" t="s">
        <v>42</v>
      </c>
      <c r="S23" s="27">
        <v>4684769.04</v>
      </c>
      <c r="T23" s="8">
        <v>27471.444</v>
      </c>
      <c r="U23" s="8">
        <v>5212.05</v>
      </c>
      <c r="V23" s="9">
        <v>1</v>
      </c>
      <c r="W23" s="10" t="s">
        <v>89</v>
      </c>
      <c r="X23" s="2" t="str">
        <f>TRIM(UPPER(TabelaOrcamento[[#This Row],[STATUS COMERCIAL]]))</f>
        <v>EM ANDAMENTO</v>
      </c>
      <c r="Y23" s="2" t="s">
        <v>337</v>
      </c>
    </row>
    <row r="24" spans="1:25" hidden="1">
      <c r="A24" s="20">
        <f>ROW() - ROW(TabelaOrcamento[[#Headers],[INDEX]])</f>
        <v>18</v>
      </c>
      <c r="B24" s="4">
        <v>45689</v>
      </c>
      <c r="C24" s="2" t="s">
        <v>86</v>
      </c>
      <c r="D24" s="2" t="s">
        <v>90</v>
      </c>
      <c r="E24" s="2"/>
      <c r="F24" s="2"/>
      <c r="G24" s="2" t="s">
        <v>332</v>
      </c>
      <c r="H24" s="2" t="s">
        <v>330</v>
      </c>
      <c r="I24" s="5">
        <v>45695</v>
      </c>
      <c r="J24" s="2" t="s">
        <v>30</v>
      </c>
      <c r="K24" s="5">
        <v>45702</v>
      </c>
      <c r="L24" s="5"/>
      <c r="M24" s="2" t="s">
        <v>23</v>
      </c>
      <c r="N24" s="2" t="s">
        <v>91</v>
      </c>
      <c r="O24" s="5">
        <v>45747</v>
      </c>
      <c r="P24" s="5">
        <v>45747</v>
      </c>
      <c r="Q24" s="2" t="s">
        <v>41</v>
      </c>
      <c r="R24" s="2" t="s">
        <v>42</v>
      </c>
      <c r="S24" s="27">
        <v>2891824.58</v>
      </c>
      <c r="T24" s="8">
        <v>36166.601999999999</v>
      </c>
      <c r="U24" s="8">
        <v>3856.71</v>
      </c>
      <c r="V24" s="9">
        <v>0</v>
      </c>
      <c r="W24" s="10" t="s">
        <v>92</v>
      </c>
      <c r="X24" s="2" t="str">
        <f>TRIM(UPPER(TabelaOrcamento[[#This Row],[STATUS COMERCIAL]]))</f>
        <v>EM ANDAMENTO</v>
      </c>
      <c r="Y24" s="2" t="s">
        <v>337</v>
      </c>
    </row>
    <row r="25" spans="1:25">
      <c r="A25" s="20">
        <f>ROW() - ROW(TabelaOrcamento[[#Headers],[INDEX]])</f>
        <v>19</v>
      </c>
      <c r="B25" s="4">
        <v>45689</v>
      </c>
      <c r="C25" s="2" t="s">
        <v>120</v>
      </c>
      <c r="D25" s="2" t="s">
        <v>121</v>
      </c>
      <c r="E25" s="2"/>
      <c r="F25" s="2"/>
      <c r="G25" s="2"/>
      <c r="H25" s="2" t="s">
        <v>65</v>
      </c>
      <c r="I25" s="5">
        <v>45716</v>
      </c>
      <c r="J25" s="2" t="s">
        <v>122</v>
      </c>
      <c r="K25" s="5">
        <v>45723</v>
      </c>
      <c r="L25" s="5">
        <v>45723</v>
      </c>
      <c r="M25" s="2" t="s">
        <v>23</v>
      </c>
      <c r="N25" s="2" t="s">
        <v>123</v>
      </c>
      <c r="O25" s="5">
        <v>45723</v>
      </c>
      <c r="P25" s="5">
        <v>45723</v>
      </c>
      <c r="Q25" s="2" t="s">
        <v>25</v>
      </c>
      <c r="R25" s="2" t="s">
        <v>26</v>
      </c>
      <c r="S25" s="27"/>
      <c r="T25" s="8">
        <v>7127.6040000000003</v>
      </c>
      <c r="U25" s="8">
        <v>401.95</v>
      </c>
      <c r="V25" s="9">
        <v>0</v>
      </c>
      <c r="W25" s="10"/>
      <c r="X25" s="2" t="str">
        <f>TRIM(UPPER(TabelaOrcamento[[#This Row],[STATUS COMERCIAL]]))</f>
        <v>CANCELADO</v>
      </c>
      <c r="Y25" s="2" t="s">
        <v>337</v>
      </c>
    </row>
    <row r="26" spans="1:25">
      <c r="A26" s="20">
        <f>ROW() - ROW(TabelaOrcamento[[#Headers],[INDEX]])</f>
        <v>20</v>
      </c>
      <c r="B26" s="4">
        <v>45689</v>
      </c>
      <c r="C26" s="2" t="s">
        <v>74</v>
      </c>
      <c r="D26" s="2" t="s">
        <v>96</v>
      </c>
      <c r="E26" s="2"/>
      <c r="F26" s="2"/>
      <c r="G26" s="2"/>
      <c r="H26" s="2" t="s">
        <v>65</v>
      </c>
      <c r="I26" s="5">
        <v>45698</v>
      </c>
      <c r="J26" s="2" t="s">
        <v>30</v>
      </c>
      <c r="K26" s="5"/>
      <c r="L26" s="5">
        <v>45708</v>
      </c>
      <c r="M26" s="2" t="s">
        <v>65</v>
      </c>
      <c r="N26" s="2"/>
      <c r="O26" s="5"/>
      <c r="P26" s="5"/>
      <c r="Q26" s="2"/>
      <c r="R26" s="2"/>
      <c r="S26" s="27"/>
      <c r="T26" s="8"/>
      <c r="U26" s="8"/>
      <c r="V26" s="9">
        <v>0</v>
      </c>
      <c r="W26" s="10" t="s">
        <v>97</v>
      </c>
      <c r="X26" s="2" t="str">
        <f>TRIM(UPPER(TabelaOrcamento[[#This Row],[STATUS COMERCIAL]]))</f>
        <v>CANCELADO</v>
      </c>
      <c r="Y26" s="2" t="s">
        <v>338</v>
      </c>
    </row>
    <row r="27" spans="1:25">
      <c r="A27" s="20">
        <f>ROW() - ROW(TabelaOrcamento[[#Headers],[INDEX]])</f>
        <v>21</v>
      </c>
      <c r="B27" s="4">
        <v>45689</v>
      </c>
      <c r="C27" s="2" t="s">
        <v>101</v>
      </c>
      <c r="D27" s="2" t="s">
        <v>102</v>
      </c>
      <c r="E27" s="2"/>
      <c r="F27" s="2"/>
      <c r="G27" s="2"/>
      <c r="H27" s="2" t="s">
        <v>65</v>
      </c>
      <c r="I27" s="5">
        <v>45701</v>
      </c>
      <c r="J27" s="2" t="s">
        <v>30</v>
      </c>
      <c r="K27" s="5" t="s">
        <v>103</v>
      </c>
      <c r="L27" s="5">
        <v>45713</v>
      </c>
      <c r="M27" s="2" t="s">
        <v>23</v>
      </c>
      <c r="N27" s="2" t="s">
        <v>104</v>
      </c>
      <c r="O27" s="5">
        <v>45729</v>
      </c>
      <c r="P27" s="5">
        <v>45729</v>
      </c>
      <c r="Q27" s="2" t="s">
        <v>25</v>
      </c>
      <c r="R27" s="2" t="s">
        <v>36</v>
      </c>
      <c r="S27" s="27"/>
      <c r="T27" s="8">
        <v>14224.983</v>
      </c>
      <c r="U27" s="8">
        <v>1608.05</v>
      </c>
      <c r="V27" s="9">
        <v>0</v>
      </c>
      <c r="W27" s="10" t="s">
        <v>105</v>
      </c>
      <c r="X27" s="2" t="str">
        <f>TRIM(UPPER(TabelaOrcamento[[#This Row],[STATUS COMERCIAL]]))</f>
        <v>CANCELADO</v>
      </c>
      <c r="Y27" s="2" t="s">
        <v>337</v>
      </c>
    </row>
    <row r="28" spans="1:25" hidden="1">
      <c r="A28" s="20">
        <f>ROW() - ROW(TabelaOrcamento[[#Headers],[INDEX]])</f>
        <v>22</v>
      </c>
      <c r="B28" s="4">
        <v>45689</v>
      </c>
      <c r="C28" s="2" t="s">
        <v>79</v>
      </c>
      <c r="D28" s="2" t="s">
        <v>80</v>
      </c>
      <c r="E28" s="2"/>
      <c r="F28" s="2"/>
      <c r="G28" s="2"/>
      <c r="H28" s="2" t="s">
        <v>65</v>
      </c>
      <c r="I28" s="5">
        <v>45692</v>
      </c>
      <c r="J28" s="2" t="s">
        <v>22</v>
      </c>
      <c r="K28" s="5"/>
      <c r="L28" s="5">
        <v>45698</v>
      </c>
      <c r="M28" s="2" t="s">
        <v>23</v>
      </c>
      <c r="N28" s="2" t="s">
        <v>81</v>
      </c>
      <c r="O28" s="5">
        <v>45700</v>
      </c>
      <c r="P28" s="5">
        <v>45700</v>
      </c>
      <c r="Q28" s="2" t="s">
        <v>41</v>
      </c>
      <c r="R28" s="2" t="s">
        <v>42</v>
      </c>
      <c r="S28" s="27">
        <v>3130949.53</v>
      </c>
      <c r="T28" s="8">
        <v>39884.124000000003</v>
      </c>
      <c r="U28" s="8">
        <v>5494.37</v>
      </c>
      <c r="V28" s="9">
        <v>0</v>
      </c>
      <c r="W28" s="10"/>
      <c r="X28" s="2" t="str">
        <f>TRIM(UPPER(TabelaOrcamento[[#This Row],[STATUS COMERCIAL]]))</f>
        <v>CANCELADO</v>
      </c>
      <c r="Y28" s="2" t="s">
        <v>337</v>
      </c>
    </row>
    <row r="29" spans="1:25">
      <c r="A29" s="20">
        <f>ROW() - ROW(TabelaOrcamento[[#Headers],[INDEX]])</f>
        <v>23</v>
      </c>
      <c r="B29" s="4">
        <v>45689</v>
      </c>
      <c r="C29" s="2" t="s">
        <v>106</v>
      </c>
      <c r="D29" s="2" t="s">
        <v>106</v>
      </c>
      <c r="E29" s="2"/>
      <c r="F29" s="2"/>
      <c r="G29" s="2"/>
      <c r="H29" s="2" t="s">
        <v>65</v>
      </c>
      <c r="I29" s="5">
        <v>45702</v>
      </c>
      <c r="J29" s="2" t="s">
        <v>30</v>
      </c>
      <c r="K29" s="5"/>
      <c r="L29" s="5">
        <v>45714</v>
      </c>
      <c r="M29" s="2" t="s">
        <v>23</v>
      </c>
      <c r="N29" s="2" t="s">
        <v>107</v>
      </c>
      <c r="O29" s="5">
        <v>45733</v>
      </c>
      <c r="P29" s="5">
        <v>45733</v>
      </c>
      <c r="Q29" s="2" t="s">
        <v>55</v>
      </c>
      <c r="R29" s="2" t="s">
        <v>42</v>
      </c>
      <c r="S29" s="27"/>
      <c r="T29" s="8">
        <v>13217.754000000001</v>
      </c>
      <c r="U29" s="8">
        <v>1393.23</v>
      </c>
      <c r="V29" s="9">
        <v>0</v>
      </c>
      <c r="W29" s="10" t="s">
        <v>108</v>
      </c>
      <c r="X29" s="2" t="str">
        <f>TRIM(UPPER(TabelaOrcamento[[#This Row],[STATUS COMERCIAL]]))</f>
        <v>CANCELADO</v>
      </c>
      <c r="Y29" s="2" t="s">
        <v>336</v>
      </c>
    </row>
    <row r="30" spans="1:25" hidden="1">
      <c r="A30" s="20">
        <f>ROW() - ROW(TabelaOrcamento[[#Headers],[INDEX]])</f>
        <v>24</v>
      </c>
      <c r="B30" s="4">
        <v>45689</v>
      </c>
      <c r="C30" s="2" t="s">
        <v>52</v>
      </c>
      <c r="D30" s="2" t="s">
        <v>98</v>
      </c>
      <c r="E30" s="2"/>
      <c r="F30" s="2"/>
      <c r="G30" s="2"/>
      <c r="H30" s="2" t="s">
        <v>65</v>
      </c>
      <c r="I30" s="5">
        <v>45701</v>
      </c>
      <c r="J30" s="2" t="s">
        <v>30</v>
      </c>
      <c r="K30" s="5"/>
      <c r="L30" s="5">
        <v>45706</v>
      </c>
      <c r="M30" s="2" t="s">
        <v>23</v>
      </c>
      <c r="N30" s="2" t="s">
        <v>99</v>
      </c>
      <c r="O30" s="5">
        <v>45709</v>
      </c>
      <c r="P30" s="5">
        <v>45709</v>
      </c>
      <c r="Q30" s="2" t="s">
        <v>25</v>
      </c>
      <c r="R30" s="2" t="s">
        <v>42</v>
      </c>
      <c r="S30" s="27">
        <v>12504352.9</v>
      </c>
      <c r="T30" s="8">
        <v>140051.1</v>
      </c>
      <c r="U30" s="8">
        <v>8616.94</v>
      </c>
      <c r="V30" s="9">
        <v>0</v>
      </c>
      <c r="W30" s="10" t="s">
        <v>100</v>
      </c>
      <c r="X30" s="2" t="str">
        <f>TRIM(UPPER(TabelaOrcamento[[#This Row],[STATUS COMERCIAL]]))</f>
        <v>CANCELADO</v>
      </c>
      <c r="Y30" s="2" t="s">
        <v>337</v>
      </c>
    </row>
    <row r="31" spans="1:25">
      <c r="A31" s="20">
        <f>ROW() - ROW(TabelaOrcamento[[#Headers],[INDEX]])</f>
        <v>25</v>
      </c>
      <c r="B31" s="4">
        <v>45689</v>
      </c>
      <c r="C31" s="2" t="s">
        <v>83</v>
      </c>
      <c r="D31" s="2" t="s">
        <v>84</v>
      </c>
      <c r="E31" s="2"/>
      <c r="F31" s="2"/>
      <c r="G31" s="2"/>
      <c r="H31" s="2" t="s">
        <v>65</v>
      </c>
      <c r="I31" s="5">
        <v>45695</v>
      </c>
      <c r="J31" s="2" t="s">
        <v>22</v>
      </c>
      <c r="K31" s="5"/>
      <c r="L31" s="5">
        <v>45706</v>
      </c>
      <c r="M31" s="2" t="s">
        <v>65</v>
      </c>
      <c r="N31" s="2"/>
      <c r="O31" s="5"/>
      <c r="P31" s="5"/>
      <c r="Q31" s="2"/>
      <c r="R31" s="2"/>
      <c r="S31" s="27"/>
      <c r="T31" s="8"/>
      <c r="U31" s="8"/>
      <c r="V31" s="9">
        <v>0</v>
      </c>
      <c r="W31" s="10" t="s">
        <v>85</v>
      </c>
      <c r="X31" s="2" t="str">
        <f>TRIM(UPPER(TabelaOrcamento[[#This Row],[STATUS COMERCIAL]]))</f>
        <v>CANCELADO</v>
      </c>
      <c r="Y31" s="2" t="s">
        <v>338</v>
      </c>
    </row>
    <row r="32" spans="1:25" hidden="1">
      <c r="A32" s="20">
        <f>ROW() - ROW(TabelaOrcamento[[#Headers],[INDEX]])</f>
        <v>26</v>
      </c>
      <c r="B32" s="4">
        <v>45717</v>
      </c>
      <c r="C32" s="2" t="s">
        <v>149</v>
      </c>
      <c r="D32" s="2" t="s">
        <v>150</v>
      </c>
      <c r="E32" s="2"/>
      <c r="F32" s="2"/>
      <c r="G32" s="2"/>
      <c r="H32" s="2" t="s">
        <v>296</v>
      </c>
      <c r="I32" s="5">
        <v>45756</v>
      </c>
      <c r="J32" s="2" t="s">
        <v>30</v>
      </c>
      <c r="K32" s="5">
        <v>45756</v>
      </c>
      <c r="L32" s="5"/>
      <c r="M32" s="2" t="s">
        <v>23</v>
      </c>
      <c r="N32" s="2" t="s">
        <v>151</v>
      </c>
      <c r="O32" s="5">
        <v>45757</v>
      </c>
      <c r="P32" s="5">
        <v>45757</v>
      </c>
      <c r="Q32" s="2" t="s">
        <v>41</v>
      </c>
      <c r="R32" s="2" t="s">
        <v>36</v>
      </c>
      <c r="S32" s="27">
        <v>152830.64000000001</v>
      </c>
      <c r="T32" s="8">
        <v>2169.654</v>
      </c>
      <c r="U32" s="8">
        <v>270.13</v>
      </c>
      <c r="V32" s="9">
        <v>1</v>
      </c>
      <c r="W32" s="10" t="s">
        <v>152</v>
      </c>
      <c r="X32" s="2" t="str">
        <f>TRIM(UPPER(TabelaOrcamento[[#This Row],[STATUS COMERCIAL]]))</f>
        <v>FECHADO</v>
      </c>
      <c r="Y32" s="2" t="s">
        <v>337</v>
      </c>
    </row>
    <row r="33" spans="1:25">
      <c r="A33" s="20">
        <f>ROW() - ROW(TabelaOrcamento[[#Headers],[INDEX]])</f>
        <v>27</v>
      </c>
      <c r="B33" s="4">
        <v>45717</v>
      </c>
      <c r="C33" s="2" t="s">
        <v>130</v>
      </c>
      <c r="D33" s="2" t="s">
        <v>131</v>
      </c>
      <c r="E33" s="2"/>
      <c r="F33" s="2"/>
      <c r="G33" s="2"/>
      <c r="H33" s="2" t="s">
        <v>65</v>
      </c>
      <c r="I33" s="5">
        <v>45728</v>
      </c>
      <c r="J33" s="2" t="s">
        <v>82</v>
      </c>
      <c r="K33" s="5">
        <v>45828</v>
      </c>
      <c r="L33" s="5"/>
      <c r="M33" s="2" t="s">
        <v>23</v>
      </c>
      <c r="N33" s="2" t="s">
        <v>132</v>
      </c>
      <c r="O33" s="5">
        <v>45828</v>
      </c>
      <c r="P33" s="5"/>
      <c r="Q33" s="2" t="s">
        <v>55</v>
      </c>
      <c r="R33" s="2" t="s">
        <v>42</v>
      </c>
      <c r="S33" s="27"/>
      <c r="T33" s="8">
        <v>1007.13</v>
      </c>
      <c r="U33" s="8">
        <v>77.38</v>
      </c>
      <c r="V33" s="9">
        <v>0</v>
      </c>
      <c r="W33" s="10"/>
      <c r="X33" s="2" t="str">
        <f>TRIM(UPPER(TabelaOrcamento[[#This Row],[STATUS COMERCIAL]]))</f>
        <v>CANCELADO</v>
      </c>
      <c r="Y33" s="2" t="s">
        <v>336</v>
      </c>
    </row>
    <row r="34" spans="1:25">
      <c r="A34" s="20">
        <f>ROW() - ROW(TabelaOrcamento[[#Headers],[INDEX]])</f>
        <v>28</v>
      </c>
      <c r="B34" s="4">
        <v>45717</v>
      </c>
      <c r="C34" s="2" t="s">
        <v>126</v>
      </c>
      <c r="D34" s="2" t="s">
        <v>127</v>
      </c>
      <c r="E34" s="2"/>
      <c r="F34" s="2"/>
      <c r="G34" s="2"/>
      <c r="H34" s="2" t="s">
        <v>65</v>
      </c>
      <c r="I34" s="5">
        <v>45723</v>
      </c>
      <c r="J34" s="2" t="s">
        <v>22</v>
      </c>
      <c r="K34" s="5"/>
      <c r="L34" s="5">
        <v>45738</v>
      </c>
      <c r="M34" s="2" t="s">
        <v>65</v>
      </c>
      <c r="N34" s="2"/>
      <c r="O34" s="5"/>
      <c r="P34" s="5"/>
      <c r="Q34" s="2"/>
      <c r="R34" s="2"/>
      <c r="S34" s="27"/>
      <c r="T34" s="8"/>
      <c r="U34" s="8"/>
      <c r="V34" s="9">
        <v>0</v>
      </c>
      <c r="W34" s="10"/>
      <c r="X34" s="2" t="str">
        <f>TRIM(UPPER(TabelaOrcamento[[#This Row],[STATUS COMERCIAL]]))</f>
        <v>CANCELADO</v>
      </c>
      <c r="Y34" s="2"/>
    </row>
    <row r="35" spans="1:25" hidden="1">
      <c r="A35" s="20">
        <f>ROW() - ROW(TabelaOrcamento[[#Headers],[INDEX]])</f>
        <v>29</v>
      </c>
      <c r="B35" s="4">
        <v>45717</v>
      </c>
      <c r="C35" s="2" t="s">
        <v>52</v>
      </c>
      <c r="D35" s="2" t="s">
        <v>139</v>
      </c>
      <c r="E35" s="2"/>
      <c r="F35" s="2" t="s">
        <v>304</v>
      </c>
      <c r="G35" s="2"/>
      <c r="H35" s="2" t="s">
        <v>296</v>
      </c>
      <c r="I35" s="5">
        <v>45736</v>
      </c>
      <c r="J35" s="2" t="s">
        <v>140</v>
      </c>
      <c r="K35" s="5">
        <v>45742</v>
      </c>
      <c r="L35" s="5">
        <v>45743</v>
      </c>
      <c r="M35" s="2" t="s">
        <v>23</v>
      </c>
      <c r="N35" s="2" t="s">
        <v>119</v>
      </c>
      <c r="O35" s="5">
        <v>45742</v>
      </c>
      <c r="P35" s="5">
        <v>45742</v>
      </c>
      <c r="Q35" s="2" t="s">
        <v>55</v>
      </c>
      <c r="R35" s="2"/>
      <c r="S35" s="27">
        <v>105000</v>
      </c>
      <c r="T35" s="8">
        <v>1409.8140000000001</v>
      </c>
      <c r="U35" s="8"/>
      <c r="V35" s="9">
        <v>0</v>
      </c>
      <c r="W35" s="10" t="s">
        <v>141</v>
      </c>
      <c r="X35" s="2" t="str">
        <f>TRIM(UPPER(TabelaOrcamento[[#This Row],[STATUS COMERCIAL]]))</f>
        <v>FECHADO</v>
      </c>
      <c r="Y35" s="2" t="s">
        <v>337</v>
      </c>
    </row>
    <row r="36" spans="1:25">
      <c r="A36" s="20">
        <f>ROW() - ROW(TabelaOrcamento[[#Headers],[INDEX]])</f>
        <v>30</v>
      </c>
      <c r="B36" s="4">
        <v>45717</v>
      </c>
      <c r="C36" s="2" t="s">
        <v>128</v>
      </c>
      <c r="D36" s="2" t="s">
        <v>128</v>
      </c>
      <c r="E36" s="2"/>
      <c r="F36" s="2"/>
      <c r="G36" s="2"/>
      <c r="H36" s="2" t="s">
        <v>65</v>
      </c>
      <c r="I36" s="5">
        <v>45724</v>
      </c>
      <c r="J36" s="2" t="s">
        <v>30</v>
      </c>
      <c r="K36" s="5"/>
      <c r="L36" s="5">
        <v>45736</v>
      </c>
      <c r="M36" s="2" t="s">
        <v>65</v>
      </c>
      <c r="N36" s="2"/>
      <c r="O36" s="5"/>
      <c r="P36" s="5"/>
      <c r="Q36" s="2"/>
      <c r="R36" s="2"/>
      <c r="S36" s="27"/>
      <c r="T36" s="8"/>
      <c r="U36" s="8"/>
      <c r="V36" s="9">
        <v>0</v>
      </c>
      <c r="W36" s="10"/>
      <c r="X36" s="2" t="str">
        <f>TRIM(UPPER(TabelaOrcamento[[#This Row],[STATUS COMERCIAL]]))</f>
        <v>CANCELADO</v>
      </c>
      <c r="Y36" s="2" t="s">
        <v>336</v>
      </c>
    </row>
    <row r="37" spans="1:25">
      <c r="A37" s="20">
        <f>ROW() - ROW(TabelaOrcamento[[#Headers],[INDEX]])</f>
        <v>31</v>
      </c>
      <c r="B37" s="4">
        <v>45717</v>
      </c>
      <c r="C37" s="2" t="s">
        <v>109</v>
      </c>
      <c r="D37" s="2" t="s">
        <v>134</v>
      </c>
      <c r="E37" s="2"/>
      <c r="F37" s="2"/>
      <c r="G37" s="2"/>
      <c r="H37" s="2" t="s">
        <v>65</v>
      </c>
      <c r="I37" s="5">
        <v>45730</v>
      </c>
      <c r="J37" s="2" t="s">
        <v>122</v>
      </c>
      <c r="K37" s="5"/>
      <c r="L37" s="5">
        <v>45745</v>
      </c>
      <c r="M37" s="2" t="s">
        <v>23</v>
      </c>
      <c r="N37" s="2"/>
      <c r="O37" s="5"/>
      <c r="P37" s="5"/>
      <c r="Q37" s="2"/>
      <c r="R37" s="2"/>
      <c r="S37" s="27"/>
      <c r="T37" s="8"/>
      <c r="U37" s="8"/>
      <c r="V37" s="9">
        <v>0</v>
      </c>
      <c r="W37" s="10"/>
      <c r="X37" s="2" t="str">
        <f>TRIM(UPPER(TabelaOrcamento[[#This Row],[STATUS COMERCIAL]]))</f>
        <v>CANCELADO</v>
      </c>
      <c r="Y37" s="2" t="s">
        <v>337</v>
      </c>
    </row>
    <row r="38" spans="1:25">
      <c r="A38" s="20">
        <f>ROW() - ROW(TabelaOrcamento[[#Headers],[INDEX]])</f>
        <v>32</v>
      </c>
      <c r="B38" s="4">
        <v>45717</v>
      </c>
      <c r="C38" s="2" t="s">
        <v>135</v>
      </c>
      <c r="D38" s="2" t="s">
        <v>136</v>
      </c>
      <c r="E38" s="2"/>
      <c r="F38" s="2"/>
      <c r="G38" s="2"/>
      <c r="H38" s="2" t="s">
        <v>65</v>
      </c>
      <c r="I38" s="5">
        <v>45733</v>
      </c>
      <c r="J38" s="2" t="s">
        <v>22</v>
      </c>
      <c r="K38" s="5">
        <v>45750</v>
      </c>
      <c r="L38" s="5"/>
      <c r="M38" s="2" t="s">
        <v>23</v>
      </c>
      <c r="N38" s="2" t="s">
        <v>137</v>
      </c>
      <c r="O38" s="5">
        <v>45751</v>
      </c>
      <c r="P38" s="5"/>
      <c r="Q38" s="2" t="s">
        <v>55</v>
      </c>
      <c r="R38" s="2" t="s">
        <v>36</v>
      </c>
      <c r="S38" s="27"/>
      <c r="T38" s="8">
        <v>4293.17</v>
      </c>
      <c r="U38" s="8">
        <v>6959.06</v>
      </c>
      <c r="V38" s="9">
        <v>0</v>
      </c>
      <c r="W38" s="10" t="s">
        <v>138</v>
      </c>
      <c r="X38" s="2" t="str">
        <f>TRIM(UPPER(TabelaOrcamento[[#This Row],[STATUS COMERCIAL]]))</f>
        <v>CANCELADO</v>
      </c>
      <c r="Y38" s="2" t="s">
        <v>337</v>
      </c>
    </row>
    <row r="39" spans="1:25" hidden="1">
      <c r="A39" s="20">
        <f>ROW() - ROW(TabelaOrcamento[[#Headers],[INDEX]])</f>
        <v>33</v>
      </c>
      <c r="B39" s="4">
        <v>45717</v>
      </c>
      <c r="C39" s="2" t="s">
        <v>142</v>
      </c>
      <c r="D39" s="2" t="s">
        <v>143</v>
      </c>
      <c r="E39" s="2"/>
      <c r="F39" s="2"/>
      <c r="G39" s="2"/>
      <c r="H39" s="2" t="s">
        <v>65</v>
      </c>
      <c r="I39" s="5">
        <v>45744</v>
      </c>
      <c r="J39" s="2" t="s">
        <v>30</v>
      </c>
      <c r="K39" s="5">
        <v>45750</v>
      </c>
      <c r="L39" s="5"/>
      <c r="M39" s="2" t="s">
        <v>23</v>
      </c>
      <c r="N39" s="2" t="s">
        <v>144</v>
      </c>
      <c r="O39" s="5" t="s">
        <v>145</v>
      </c>
      <c r="P39" s="5">
        <v>45756</v>
      </c>
      <c r="Q39" s="2" t="s">
        <v>41</v>
      </c>
      <c r="R39" s="2" t="s">
        <v>42</v>
      </c>
      <c r="S39" s="27">
        <v>825577.14</v>
      </c>
      <c r="T39" s="8">
        <v>13980.96</v>
      </c>
      <c r="U39" s="8">
        <v>1691.64</v>
      </c>
      <c r="V39" s="9">
        <v>0</v>
      </c>
      <c r="W39" s="10" t="s">
        <v>146</v>
      </c>
      <c r="X39" s="2" t="str">
        <f>TRIM(UPPER(TabelaOrcamento[[#This Row],[STATUS COMERCIAL]]))</f>
        <v>CANCELADO</v>
      </c>
      <c r="Y39" s="2" t="s">
        <v>337</v>
      </c>
    </row>
    <row r="40" spans="1:25" hidden="1">
      <c r="A40" s="20">
        <f>ROW() - ROW(TabelaOrcamento[[#Headers],[INDEX]])</f>
        <v>34</v>
      </c>
      <c r="B40" s="4">
        <v>45717</v>
      </c>
      <c r="C40" s="2" t="s">
        <v>142</v>
      </c>
      <c r="D40" s="2" t="s">
        <v>327</v>
      </c>
      <c r="E40" s="2"/>
      <c r="F40" s="2"/>
      <c r="G40" s="2"/>
      <c r="H40" s="2" t="s">
        <v>65</v>
      </c>
      <c r="I40" s="5">
        <v>45744</v>
      </c>
      <c r="J40" s="2" t="s">
        <v>30</v>
      </c>
      <c r="K40" s="5">
        <v>45750</v>
      </c>
      <c r="L40" s="5"/>
      <c r="M40" s="2" t="s">
        <v>23</v>
      </c>
      <c r="N40" s="2" t="s">
        <v>147</v>
      </c>
      <c r="O40" s="5" t="s">
        <v>145</v>
      </c>
      <c r="P40" s="5">
        <v>45756</v>
      </c>
      <c r="Q40" s="2" t="s">
        <v>41</v>
      </c>
      <c r="R40" s="2" t="s">
        <v>42</v>
      </c>
      <c r="S40" s="27">
        <v>1259054.25</v>
      </c>
      <c r="T40" s="8">
        <v>15444.63</v>
      </c>
      <c r="U40" s="8">
        <v>1691.64</v>
      </c>
      <c r="V40" s="9">
        <v>0</v>
      </c>
      <c r="W40" s="10" t="s">
        <v>148</v>
      </c>
      <c r="X40" s="2" t="str">
        <f>TRIM(UPPER(TabelaOrcamento[[#This Row],[STATUS COMERCIAL]]))</f>
        <v>CANCELADO</v>
      </c>
      <c r="Y40" s="2" t="s">
        <v>337</v>
      </c>
    </row>
    <row r="41" spans="1:25" hidden="1">
      <c r="A41" s="20">
        <f>ROW() - ROW(TabelaOrcamento[[#Headers],[INDEX]])</f>
        <v>35</v>
      </c>
      <c r="B41" s="4">
        <v>45717</v>
      </c>
      <c r="C41" s="2" t="s">
        <v>156</v>
      </c>
      <c r="D41" s="2" t="s">
        <v>49</v>
      </c>
      <c r="E41" s="2"/>
      <c r="F41" s="2"/>
      <c r="G41" s="2" t="s">
        <v>331</v>
      </c>
      <c r="H41" s="2" t="s">
        <v>330</v>
      </c>
      <c r="I41" s="5"/>
      <c r="J41" s="2"/>
      <c r="K41" s="5">
        <v>45735</v>
      </c>
      <c r="L41" s="5"/>
      <c r="M41" s="2" t="s">
        <v>23</v>
      </c>
      <c r="N41" s="2" t="s">
        <v>157</v>
      </c>
      <c r="O41" s="5">
        <v>45761</v>
      </c>
      <c r="P41" s="5"/>
      <c r="Q41" s="2" t="s">
        <v>25</v>
      </c>
      <c r="R41" s="2" t="s">
        <v>42</v>
      </c>
      <c r="S41" s="46">
        <v>1986281.58</v>
      </c>
      <c r="T41" s="8">
        <v>10495.925999999999</v>
      </c>
      <c r="U41" s="8">
        <v>3925.69</v>
      </c>
      <c r="V41" s="9">
        <v>0</v>
      </c>
      <c r="W41" s="10"/>
      <c r="X41" s="2" t="str">
        <f>TRIM(UPPER(TabelaOrcamento[[#This Row],[STATUS COMERCIAL]]))</f>
        <v>EM ANDAMENTO</v>
      </c>
      <c r="Y41" s="2" t="s">
        <v>336</v>
      </c>
    </row>
    <row r="42" spans="1:25">
      <c r="A42" s="20">
        <f>ROW() - ROW(TabelaOrcamento[[#Headers],[INDEX]])</f>
        <v>36</v>
      </c>
      <c r="B42" s="4">
        <v>45717</v>
      </c>
      <c r="C42" s="2" t="s">
        <v>124</v>
      </c>
      <c r="D42" s="2" t="s">
        <v>125</v>
      </c>
      <c r="E42" s="2"/>
      <c r="F42" s="2"/>
      <c r="G42" s="2"/>
      <c r="H42" s="2" t="s">
        <v>65</v>
      </c>
      <c r="I42" s="5">
        <v>45721</v>
      </c>
      <c r="J42" s="2"/>
      <c r="K42" s="5"/>
      <c r="L42" s="5">
        <v>45733</v>
      </c>
      <c r="M42" s="2" t="s">
        <v>65</v>
      </c>
      <c r="N42" s="2"/>
      <c r="O42" s="5"/>
      <c r="P42" s="5"/>
      <c r="Q42" s="2"/>
      <c r="R42" s="2"/>
      <c r="S42" s="27"/>
      <c r="T42" s="8"/>
      <c r="U42" s="8"/>
      <c r="V42" s="9">
        <v>0</v>
      </c>
      <c r="W42" s="10"/>
      <c r="X42" s="2" t="str">
        <f>TRIM(UPPER(TabelaOrcamento[[#This Row],[STATUS COMERCIAL]]))</f>
        <v>CANCELADO</v>
      </c>
      <c r="Y42" s="2" t="s">
        <v>337</v>
      </c>
    </row>
    <row r="43" spans="1:25">
      <c r="A43" s="20">
        <f>ROW() - ROW(TabelaOrcamento[[#Headers],[INDEX]])</f>
        <v>37</v>
      </c>
      <c r="B43" s="4">
        <v>45717</v>
      </c>
      <c r="C43" s="2" t="s">
        <v>133</v>
      </c>
      <c r="D43" s="2" t="s">
        <v>133</v>
      </c>
      <c r="E43" s="2"/>
      <c r="F43" s="2"/>
      <c r="G43" s="2"/>
      <c r="H43" s="2" t="s">
        <v>65</v>
      </c>
      <c r="I43" s="5">
        <v>45728</v>
      </c>
      <c r="J43" s="2" t="s">
        <v>30</v>
      </c>
      <c r="K43" s="5"/>
      <c r="L43" s="5">
        <v>45743</v>
      </c>
      <c r="M43" s="2" t="s">
        <v>65</v>
      </c>
      <c r="N43" s="2"/>
      <c r="O43" s="5"/>
      <c r="P43" s="5"/>
      <c r="Q43" s="2"/>
      <c r="R43" s="2"/>
      <c r="S43" s="27"/>
      <c r="T43" s="8"/>
      <c r="U43" s="8"/>
      <c r="V43" s="9">
        <v>0</v>
      </c>
      <c r="W43" s="10"/>
      <c r="X43" s="2" t="str">
        <f>TRIM(UPPER(TabelaOrcamento[[#This Row],[STATUS COMERCIAL]]))</f>
        <v>CANCELADO</v>
      </c>
      <c r="Y43" s="2" t="s">
        <v>336</v>
      </c>
    </row>
    <row r="44" spans="1:25" hidden="1">
      <c r="A44" s="20">
        <f>ROW() - ROW(TabelaOrcamento[[#Headers],[INDEX]])</f>
        <v>38</v>
      </c>
      <c r="B44" s="4">
        <v>45717</v>
      </c>
      <c r="C44" s="2" t="s">
        <v>74</v>
      </c>
      <c r="D44" s="2" t="s">
        <v>153</v>
      </c>
      <c r="E44" s="2"/>
      <c r="F44" s="2" t="s">
        <v>305</v>
      </c>
      <c r="G44" s="2" t="s">
        <v>331</v>
      </c>
      <c r="H44" s="2" t="s">
        <v>330</v>
      </c>
      <c r="I44" s="5">
        <v>45763</v>
      </c>
      <c r="J44" s="2" t="s">
        <v>30</v>
      </c>
      <c r="K44" s="5">
        <v>45763</v>
      </c>
      <c r="L44" s="5">
        <v>45763</v>
      </c>
      <c r="M44" s="2" t="s">
        <v>23</v>
      </c>
      <c r="N44" s="2" t="s">
        <v>154</v>
      </c>
      <c r="O44" s="5">
        <v>45763</v>
      </c>
      <c r="P44" s="5">
        <v>45763</v>
      </c>
      <c r="Q44" s="2" t="s">
        <v>55</v>
      </c>
      <c r="R44" s="2" t="s">
        <v>36</v>
      </c>
      <c r="S44" s="27">
        <v>184991.41</v>
      </c>
      <c r="T44" s="8">
        <v>2407.866</v>
      </c>
      <c r="U44" s="8">
        <v>2699.31</v>
      </c>
      <c r="V44" s="9">
        <v>2</v>
      </c>
      <c r="W44" s="10" t="s">
        <v>155</v>
      </c>
      <c r="X44" s="2" t="str">
        <f>TRIM(UPPER(TabelaOrcamento[[#This Row],[STATUS COMERCIAL]]))</f>
        <v>EM ANDAMENTO</v>
      </c>
      <c r="Y44" s="2" t="s">
        <v>338</v>
      </c>
    </row>
    <row r="45" spans="1:25">
      <c r="A45" s="20">
        <f>ROW() - ROW(TabelaOrcamento[[#Headers],[INDEX]])</f>
        <v>39</v>
      </c>
      <c r="B45" s="4">
        <v>45748</v>
      </c>
      <c r="C45" s="2" t="s">
        <v>173</v>
      </c>
      <c r="D45" s="2" t="s">
        <v>174</v>
      </c>
      <c r="E45" s="2"/>
      <c r="F45" s="2"/>
      <c r="G45" s="2"/>
      <c r="H45" s="2" t="s">
        <v>296</v>
      </c>
      <c r="I45" s="5">
        <v>45771</v>
      </c>
      <c r="J45" s="2" t="s">
        <v>82</v>
      </c>
      <c r="K45" s="5">
        <v>45772</v>
      </c>
      <c r="L45" s="5">
        <v>45772</v>
      </c>
      <c r="M45" s="2" t="s">
        <v>23</v>
      </c>
      <c r="N45" s="2" t="s">
        <v>175</v>
      </c>
      <c r="O45" s="5">
        <v>45772</v>
      </c>
      <c r="P45" s="5">
        <v>45772</v>
      </c>
      <c r="Q45" s="2" t="s">
        <v>55</v>
      </c>
      <c r="R45" s="2" t="s">
        <v>36</v>
      </c>
      <c r="S45" s="27"/>
      <c r="T45" s="8">
        <v>714.18299999999999</v>
      </c>
      <c r="U45" s="8">
        <v>57.84</v>
      </c>
      <c r="V45" s="9">
        <v>0</v>
      </c>
      <c r="W45" s="10"/>
      <c r="X45" s="2" t="str">
        <f>TRIM(UPPER(TabelaOrcamento[[#This Row],[STATUS COMERCIAL]]))</f>
        <v>FECHADO</v>
      </c>
      <c r="Y45" s="2" t="s">
        <v>336</v>
      </c>
    </row>
    <row r="46" spans="1:25" hidden="1">
      <c r="A46" s="20">
        <f>ROW() - ROW(TabelaOrcamento[[#Headers],[INDEX]])</f>
        <v>40</v>
      </c>
      <c r="B46" s="4">
        <v>45748</v>
      </c>
      <c r="C46" s="2" t="s">
        <v>169</v>
      </c>
      <c r="D46" s="2" t="s">
        <v>170</v>
      </c>
      <c r="E46" s="2"/>
      <c r="F46" s="2" t="s">
        <v>309</v>
      </c>
      <c r="G46" s="2"/>
      <c r="H46" s="2" t="s">
        <v>328</v>
      </c>
      <c r="I46" s="5">
        <v>45764</v>
      </c>
      <c r="J46" s="2" t="s">
        <v>122</v>
      </c>
      <c r="K46" s="5">
        <v>45775</v>
      </c>
      <c r="L46" s="5">
        <v>45776</v>
      </c>
      <c r="M46" s="2" t="s">
        <v>23</v>
      </c>
      <c r="N46" s="2" t="s">
        <v>171</v>
      </c>
      <c r="O46" s="5">
        <v>45776</v>
      </c>
      <c r="P46" s="5">
        <v>45776</v>
      </c>
      <c r="Q46" s="2" t="s">
        <v>55</v>
      </c>
      <c r="R46" s="2" t="s">
        <v>36</v>
      </c>
      <c r="S46" s="27">
        <v>50385</v>
      </c>
      <c r="T46" s="8">
        <v>907.85900000000004</v>
      </c>
      <c r="U46" s="8">
        <v>2287.4</v>
      </c>
      <c r="V46" s="9">
        <v>0</v>
      </c>
      <c r="W46" s="10" t="s">
        <v>172</v>
      </c>
      <c r="X46" s="2" t="str">
        <f>TRIM(UPPER(TabelaOrcamento[[#This Row],[STATUS COMERCIAL]]))</f>
        <v>FECHADO</v>
      </c>
      <c r="Y46" s="2" t="s">
        <v>336</v>
      </c>
    </row>
    <row r="47" spans="1:25" hidden="1">
      <c r="A47" s="20">
        <f>ROW() - ROW(TabelaOrcamento[[#Headers],[INDEX]])</f>
        <v>41</v>
      </c>
      <c r="B47" s="4">
        <v>45748</v>
      </c>
      <c r="C47" s="2" t="s">
        <v>186</v>
      </c>
      <c r="D47" s="2" t="s">
        <v>187</v>
      </c>
      <c r="E47" s="2"/>
      <c r="F47" s="2" t="s">
        <v>311</v>
      </c>
      <c r="G47" s="2" t="s">
        <v>333</v>
      </c>
      <c r="H47" s="2" t="s">
        <v>330</v>
      </c>
      <c r="I47" s="5"/>
      <c r="J47" s="2"/>
      <c r="K47" s="5">
        <v>45748</v>
      </c>
      <c r="L47" s="5"/>
      <c r="M47" s="2" t="s">
        <v>23</v>
      </c>
      <c r="N47" s="2" t="s">
        <v>188</v>
      </c>
      <c r="O47" s="5">
        <v>45750</v>
      </c>
      <c r="P47" s="5">
        <v>45750</v>
      </c>
      <c r="Q47" s="2" t="s">
        <v>41</v>
      </c>
      <c r="R47" s="2" t="s">
        <v>42</v>
      </c>
      <c r="S47" s="27">
        <v>332232.09000000003</v>
      </c>
      <c r="T47" s="8">
        <v>4693.6139999999996</v>
      </c>
      <c r="U47" s="8">
        <v>704.28</v>
      </c>
      <c r="V47" s="9">
        <v>0</v>
      </c>
      <c r="W47" s="10" t="s">
        <v>189</v>
      </c>
      <c r="X47" s="2" t="str">
        <f>TRIM(UPPER(TabelaOrcamento[[#This Row],[STATUS COMERCIAL]]))</f>
        <v>EM ANDAMENTO</v>
      </c>
      <c r="Y47" s="2" t="s">
        <v>337</v>
      </c>
    </row>
    <row r="48" spans="1:25" hidden="1">
      <c r="A48" s="20">
        <f>ROW() - ROW(TabelaOrcamento[[#Headers],[INDEX]])</f>
        <v>42</v>
      </c>
      <c r="B48" s="4">
        <v>45748</v>
      </c>
      <c r="C48" s="2" t="s">
        <v>52</v>
      </c>
      <c r="D48" s="2" t="s">
        <v>183</v>
      </c>
      <c r="E48" s="45" t="s">
        <v>310</v>
      </c>
      <c r="F48" s="2"/>
      <c r="G48" s="2" t="s">
        <v>331</v>
      </c>
      <c r="H48" s="2" t="s">
        <v>330</v>
      </c>
      <c r="I48" s="5">
        <v>45844</v>
      </c>
      <c r="J48" s="2" t="s">
        <v>30</v>
      </c>
      <c r="K48" s="5">
        <v>45860</v>
      </c>
      <c r="L48" s="5">
        <v>45868</v>
      </c>
      <c r="M48" s="2" t="s">
        <v>23</v>
      </c>
      <c r="N48" s="2" t="s">
        <v>184</v>
      </c>
      <c r="O48" s="5">
        <v>45868</v>
      </c>
      <c r="P48" s="5">
        <v>45868</v>
      </c>
      <c r="Q48" s="2" t="s">
        <v>41</v>
      </c>
      <c r="R48" s="2" t="s">
        <v>42</v>
      </c>
      <c r="S48" s="27">
        <v>1917320.37</v>
      </c>
      <c r="T48" s="8">
        <v>25663.712</v>
      </c>
      <c r="U48" s="8">
        <v>3254.25</v>
      </c>
      <c r="V48" s="9">
        <v>1</v>
      </c>
      <c r="W48" s="10" t="s">
        <v>185</v>
      </c>
      <c r="X48" s="2" t="str">
        <f>TRIM(UPPER(TabelaOrcamento[[#This Row],[STATUS COMERCIAL]]))</f>
        <v>EM ANDAMENTO</v>
      </c>
      <c r="Y48" s="2" t="s">
        <v>337</v>
      </c>
    </row>
    <row r="49" spans="1:25">
      <c r="A49" s="20">
        <f>ROW() - ROW(TabelaOrcamento[[#Headers],[INDEX]])</f>
        <v>43</v>
      </c>
      <c r="B49" s="4">
        <v>45748</v>
      </c>
      <c r="C49" s="2" t="s">
        <v>52</v>
      </c>
      <c r="D49" s="2" t="s">
        <v>166</v>
      </c>
      <c r="E49" s="2"/>
      <c r="F49" s="2"/>
      <c r="G49" s="2"/>
      <c r="H49" s="2" t="s">
        <v>65</v>
      </c>
      <c r="I49" s="5">
        <v>45763</v>
      </c>
      <c r="J49" s="2" t="s">
        <v>30</v>
      </c>
      <c r="K49" s="5">
        <v>45769</v>
      </c>
      <c r="L49" s="5">
        <v>45784</v>
      </c>
      <c r="M49" s="2" t="s">
        <v>23</v>
      </c>
      <c r="N49" s="2" t="s">
        <v>167</v>
      </c>
      <c r="O49" s="5">
        <v>45790</v>
      </c>
      <c r="P49" s="5">
        <v>45790</v>
      </c>
      <c r="Q49" s="2" t="s">
        <v>41</v>
      </c>
      <c r="R49" s="2" t="s">
        <v>42</v>
      </c>
      <c r="S49" s="27"/>
      <c r="T49" s="8">
        <v>35719.24</v>
      </c>
      <c r="U49" s="8">
        <v>3837.5</v>
      </c>
      <c r="V49" s="9">
        <v>0</v>
      </c>
      <c r="W49" s="10" t="s">
        <v>168</v>
      </c>
      <c r="X49" s="2" t="str">
        <f>TRIM(UPPER(TabelaOrcamento[[#This Row],[STATUS COMERCIAL]]))</f>
        <v>CANCELADO</v>
      </c>
      <c r="Y49" s="2" t="s">
        <v>337</v>
      </c>
    </row>
    <row r="50" spans="1:25" hidden="1">
      <c r="A50" s="20">
        <f>ROW() - ROW(TabelaOrcamento[[#Headers],[INDEX]])</f>
        <v>44</v>
      </c>
      <c r="B50" s="4">
        <v>45748</v>
      </c>
      <c r="C50" s="2" t="s">
        <v>52</v>
      </c>
      <c r="D50" s="2" t="s">
        <v>163</v>
      </c>
      <c r="E50" s="45" t="s">
        <v>308</v>
      </c>
      <c r="F50" s="2"/>
      <c r="G50" s="2"/>
      <c r="H50" s="2" t="s">
        <v>296</v>
      </c>
      <c r="I50" s="5">
        <v>45762</v>
      </c>
      <c r="J50" s="2" t="s">
        <v>30</v>
      </c>
      <c r="K50" s="5">
        <v>45762</v>
      </c>
      <c r="L50" s="5"/>
      <c r="M50" s="2" t="s">
        <v>23</v>
      </c>
      <c r="N50" s="2" t="s">
        <v>164</v>
      </c>
      <c r="O50" s="5">
        <v>45763</v>
      </c>
      <c r="P50" s="5">
        <v>45763</v>
      </c>
      <c r="Q50" s="2" t="s">
        <v>41</v>
      </c>
      <c r="R50" s="2" t="s">
        <v>36</v>
      </c>
      <c r="S50" s="27">
        <v>29551.68</v>
      </c>
      <c r="T50" s="8">
        <v>3169.7</v>
      </c>
      <c r="U50" s="8">
        <v>4644.07</v>
      </c>
      <c r="V50" s="9">
        <v>0</v>
      </c>
      <c r="W50" s="10" t="s">
        <v>165</v>
      </c>
      <c r="X50" s="2" t="str">
        <f>TRIM(UPPER(TabelaOrcamento[[#This Row],[STATUS COMERCIAL]]))</f>
        <v>FECHADO</v>
      </c>
      <c r="Y50" s="2" t="s">
        <v>337</v>
      </c>
    </row>
    <row r="51" spans="1:25">
      <c r="A51" s="20">
        <f>ROW() - ROW(TabelaOrcamento[[#Headers],[INDEX]])</f>
        <v>45</v>
      </c>
      <c r="B51" s="4">
        <v>45748</v>
      </c>
      <c r="C51" s="2" t="s">
        <v>158</v>
      </c>
      <c r="D51" s="2" t="s">
        <v>159</v>
      </c>
      <c r="E51" s="2"/>
      <c r="F51" s="2"/>
      <c r="G51" s="2"/>
      <c r="H51" s="2" t="s">
        <v>65</v>
      </c>
      <c r="I51" s="5">
        <v>45756</v>
      </c>
      <c r="J51" s="2" t="s">
        <v>160</v>
      </c>
      <c r="K51" s="5">
        <v>45758</v>
      </c>
      <c r="L51" s="5">
        <v>45764</v>
      </c>
      <c r="M51" s="2" t="s">
        <v>23</v>
      </c>
      <c r="N51" s="2" t="s">
        <v>161</v>
      </c>
      <c r="O51" s="5">
        <v>45764</v>
      </c>
      <c r="P51" s="5">
        <v>45764</v>
      </c>
      <c r="Q51" s="2" t="s">
        <v>41</v>
      </c>
      <c r="R51" s="2" t="s">
        <v>42</v>
      </c>
      <c r="S51" s="27"/>
      <c r="T51" s="8">
        <v>4697.9219999999996</v>
      </c>
      <c r="U51" s="8">
        <v>728.92</v>
      </c>
      <c r="V51" s="9">
        <v>0</v>
      </c>
      <c r="W51" s="10" t="s">
        <v>162</v>
      </c>
      <c r="X51" s="2" t="str">
        <f>TRIM(UPPER(TabelaOrcamento[[#This Row],[STATUS COMERCIAL]]))</f>
        <v>CANCELADO</v>
      </c>
      <c r="Y51" s="2" t="s">
        <v>336</v>
      </c>
    </row>
    <row r="52" spans="1:25">
      <c r="A52" s="20">
        <f>ROW() - ROW(TabelaOrcamento[[#Headers],[INDEX]])</f>
        <v>46</v>
      </c>
      <c r="B52" s="4">
        <v>45748</v>
      </c>
      <c r="C52" s="2" t="s">
        <v>158</v>
      </c>
      <c r="D52" s="2" t="s">
        <v>176</v>
      </c>
      <c r="E52" s="2"/>
      <c r="F52" s="2"/>
      <c r="G52" s="2"/>
      <c r="H52" s="2" t="s">
        <v>65</v>
      </c>
      <c r="I52" s="5">
        <v>45775</v>
      </c>
      <c r="J52" s="2" t="s">
        <v>160</v>
      </c>
      <c r="K52" s="5">
        <v>45775</v>
      </c>
      <c r="L52" s="5">
        <v>45776</v>
      </c>
      <c r="M52" s="2" t="s">
        <v>23</v>
      </c>
      <c r="N52" s="2" t="s">
        <v>177</v>
      </c>
      <c r="O52" s="5">
        <v>45776</v>
      </c>
      <c r="P52" s="5">
        <v>45776</v>
      </c>
      <c r="Q52" s="2" t="s">
        <v>41</v>
      </c>
      <c r="R52" s="2" t="s">
        <v>36</v>
      </c>
      <c r="S52" s="27"/>
      <c r="T52" s="8">
        <v>5804.232</v>
      </c>
      <c r="U52" s="8">
        <v>728.92</v>
      </c>
      <c r="V52" s="9">
        <v>0</v>
      </c>
      <c r="W52" s="10" t="s">
        <v>178</v>
      </c>
      <c r="X52" s="2" t="str">
        <f>TRIM(UPPER(TabelaOrcamento[[#This Row],[STATUS COMERCIAL]]))</f>
        <v>CANCELADO</v>
      </c>
      <c r="Y52" s="2" t="s">
        <v>336</v>
      </c>
    </row>
    <row r="53" spans="1:25" hidden="1">
      <c r="A53" s="20">
        <f>ROW() - ROW(TabelaOrcamento[[#Headers],[INDEX]])</f>
        <v>47</v>
      </c>
      <c r="B53" s="4">
        <v>45748</v>
      </c>
      <c r="C53" s="2" t="s">
        <v>179</v>
      </c>
      <c r="D53" s="2" t="s">
        <v>180</v>
      </c>
      <c r="E53" s="2"/>
      <c r="F53" s="2" t="s">
        <v>325</v>
      </c>
      <c r="G53" s="2" t="s">
        <v>359</v>
      </c>
      <c r="H53" s="2" t="s">
        <v>330</v>
      </c>
      <c r="I53" s="5">
        <v>45777</v>
      </c>
      <c r="J53" s="2" t="s">
        <v>30</v>
      </c>
      <c r="K53" s="5">
        <v>45779</v>
      </c>
      <c r="L53" s="5"/>
      <c r="M53" s="2" t="s">
        <v>23</v>
      </c>
      <c r="N53" s="2" t="s">
        <v>181</v>
      </c>
      <c r="O53" s="5">
        <v>45786</v>
      </c>
      <c r="P53" s="5">
        <v>45786</v>
      </c>
      <c r="Q53" s="2" t="s">
        <v>41</v>
      </c>
      <c r="R53" s="2" t="s">
        <v>36</v>
      </c>
      <c r="S53" s="27">
        <v>271636.59000000003</v>
      </c>
      <c r="T53" s="8">
        <v>6251.2</v>
      </c>
      <c r="U53" s="8">
        <v>518.4</v>
      </c>
      <c r="V53" s="9">
        <v>0</v>
      </c>
      <c r="W53" s="10" t="s">
        <v>182</v>
      </c>
      <c r="X53" s="2" t="str">
        <f>TRIM(UPPER(TabelaOrcamento[[#This Row],[STATUS COMERCIAL]]))</f>
        <v>EM ANDAMENTO</v>
      </c>
      <c r="Y53" s="2" t="s">
        <v>336</v>
      </c>
    </row>
    <row r="54" spans="1:25" hidden="1">
      <c r="A54" s="20">
        <f>ROW() - ROW(TabelaOrcamento[[#Headers],[INDEX]])</f>
        <v>48</v>
      </c>
      <c r="B54" s="4">
        <v>45749</v>
      </c>
      <c r="C54" s="2" t="s">
        <v>190</v>
      </c>
      <c r="D54" s="2" t="s">
        <v>191</v>
      </c>
      <c r="E54" s="2"/>
      <c r="F54" s="2" t="s">
        <v>312</v>
      </c>
      <c r="G54" s="2" t="s">
        <v>359</v>
      </c>
      <c r="H54" s="2" t="s">
        <v>330</v>
      </c>
      <c r="I54" s="5">
        <v>45763</v>
      </c>
      <c r="J54" s="2" t="s">
        <v>122</v>
      </c>
      <c r="K54" s="5">
        <v>45763</v>
      </c>
      <c r="L54" s="5">
        <v>45764</v>
      </c>
      <c r="M54" s="2" t="s">
        <v>23</v>
      </c>
      <c r="N54" s="2" t="s">
        <v>192</v>
      </c>
      <c r="O54" s="5">
        <v>45764</v>
      </c>
      <c r="P54" s="5">
        <v>45764</v>
      </c>
      <c r="Q54" s="2" t="s">
        <v>55</v>
      </c>
      <c r="R54" s="2" t="s">
        <v>36</v>
      </c>
      <c r="S54" s="27">
        <v>2822841.53</v>
      </c>
      <c r="T54" s="8" t="s">
        <v>193</v>
      </c>
      <c r="U54" s="8">
        <v>3328.54</v>
      </c>
      <c r="V54" s="9">
        <v>0</v>
      </c>
      <c r="W54" s="10"/>
      <c r="X54" s="2" t="str">
        <f>TRIM(UPPER(TabelaOrcamento[[#This Row],[STATUS COMERCIAL]]))</f>
        <v>EM ANDAMENTO</v>
      </c>
      <c r="Y54" s="2" t="s">
        <v>336</v>
      </c>
    </row>
    <row r="55" spans="1:25">
      <c r="A55" s="20">
        <f>ROW() - ROW(TabelaOrcamento[[#Headers],[INDEX]])</f>
        <v>49</v>
      </c>
      <c r="B55" s="4">
        <v>45769</v>
      </c>
      <c r="C55" s="2" t="s">
        <v>200</v>
      </c>
      <c r="D55" s="2" t="s">
        <v>201</v>
      </c>
      <c r="E55" s="2"/>
      <c r="F55" s="2"/>
      <c r="G55" s="2"/>
      <c r="H55" s="2" t="s">
        <v>65</v>
      </c>
      <c r="I55" s="5">
        <v>45764</v>
      </c>
      <c r="J55" s="2" t="s">
        <v>82</v>
      </c>
      <c r="K55" s="5">
        <v>45769</v>
      </c>
      <c r="L55" s="5"/>
      <c r="M55" s="2" t="s">
        <v>23</v>
      </c>
      <c r="N55" s="2" t="s">
        <v>202</v>
      </c>
      <c r="O55" s="5">
        <v>45769</v>
      </c>
      <c r="P55" s="5">
        <v>45769</v>
      </c>
      <c r="Q55" s="2" t="s">
        <v>55</v>
      </c>
      <c r="R55" s="2" t="s">
        <v>42</v>
      </c>
      <c r="S55" s="27"/>
      <c r="T55" s="8">
        <v>6580.3379999999997</v>
      </c>
      <c r="U55" s="8">
        <v>743.41</v>
      </c>
      <c r="V55" s="9">
        <v>0</v>
      </c>
      <c r="W55" s="10" t="s">
        <v>203</v>
      </c>
      <c r="X55" s="2" t="str">
        <f>TRIM(UPPER(TabelaOrcamento[[#This Row],[STATUS COMERCIAL]]))</f>
        <v>CANCELADO</v>
      </c>
      <c r="Y55" s="2" t="s">
        <v>337</v>
      </c>
    </row>
    <row r="56" spans="1:25">
      <c r="A56" s="20">
        <f>ROW() - ROW(TabelaOrcamento[[#Headers],[INDEX]])</f>
        <v>50</v>
      </c>
      <c r="B56" s="4">
        <v>45769</v>
      </c>
      <c r="C56" s="2" t="s">
        <v>204</v>
      </c>
      <c r="D56" s="2" t="s">
        <v>205</v>
      </c>
      <c r="E56" s="2"/>
      <c r="F56" s="2"/>
      <c r="G56" s="2"/>
      <c r="H56" s="2" t="s">
        <v>65</v>
      </c>
      <c r="I56" s="5">
        <v>45769</v>
      </c>
      <c r="J56" s="2" t="s">
        <v>82</v>
      </c>
      <c r="K56" s="5">
        <v>45772</v>
      </c>
      <c r="L56" s="5"/>
      <c r="M56" s="2" t="s">
        <v>23</v>
      </c>
      <c r="N56" s="2" t="s">
        <v>206</v>
      </c>
      <c r="O56" s="5">
        <v>45772</v>
      </c>
      <c r="P56" s="5">
        <v>45772</v>
      </c>
      <c r="Q56" s="2" t="s">
        <v>55</v>
      </c>
      <c r="R56" s="2" t="s">
        <v>42</v>
      </c>
      <c r="S56" s="27"/>
      <c r="T56" s="8">
        <v>5332.1580000000004</v>
      </c>
      <c r="U56" s="8">
        <v>579.1</v>
      </c>
      <c r="V56" s="9">
        <v>0</v>
      </c>
      <c r="W56" s="10"/>
      <c r="X56" s="2" t="str">
        <f>TRIM(UPPER(TabelaOrcamento[[#This Row],[STATUS COMERCIAL]]))</f>
        <v>CANCELADO</v>
      </c>
      <c r="Y56" s="2" t="s">
        <v>336</v>
      </c>
    </row>
    <row r="57" spans="1:25">
      <c r="A57" s="20">
        <f>ROW() - ROW(TabelaOrcamento[[#Headers],[INDEX]])</f>
        <v>51</v>
      </c>
      <c r="B57" s="4">
        <v>45769</v>
      </c>
      <c r="C57" s="2" t="s">
        <v>197</v>
      </c>
      <c r="D57" s="2" t="s">
        <v>197</v>
      </c>
      <c r="E57" s="2"/>
      <c r="F57" s="2"/>
      <c r="G57" s="2"/>
      <c r="H57" s="2" t="s">
        <v>65</v>
      </c>
      <c r="I57" s="5">
        <v>45761</v>
      </c>
      <c r="J57" s="2" t="s">
        <v>82</v>
      </c>
      <c r="K57" s="5">
        <v>45762</v>
      </c>
      <c r="L57" s="5">
        <v>45792</v>
      </c>
      <c r="M57" s="2" t="s">
        <v>23</v>
      </c>
      <c r="N57" s="2" t="s">
        <v>198</v>
      </c>
      <c r="O57" s="5">
        <v>45762</v>
      </c>
      <c r="P57" s="5">
        <v>45762</v>
      </c>
      <c r="Q57" s="2" t="s">
        <v>55</v>
      </c>
      <c r="R57" s="2" t="s">
        <v>36</v>
      </c>
      <c r="S57" s="27"/>
      <c r="T57" s="8">
        <v>141.1</v>
      </c>
      <c r="U57" s="8">
        <v>12.54</v>
      </c>
      <c r="V57" s="9">
        <v>0</v>
      </c>
      <c r="W57" s="10" t="s">
        <v>199</v>
      </c>
      <c r="X57" s="2" t="str">
        <f>TRIM(UPPER(TabelaOrcamento[[#This Row],[STATUS COMERCIAL]]))</f>
        <v>CANCELADO</v>
      </c>
      <c r="Y57" s="2" t="s">
        <v>336</v>
      </c>
    </row>
    <row r="58" spans="1:25">
      <c r="A58" s="20">
        <f>ROW() - ROW(TabelaOrcamento[[#Headers],[INDEX]])</f>
        <v>52</v>
      </c>
      <c r="B58" s="4">
        <v>45769</v>
      </c>
      <c r="C58" s="2" t="s">
        <v>194</v>
      </c>
      <c r="D58" s="2" t="s">
        <v>194</v>
      </c>
      <c r="E58" s="2"/>
      <c r="F58" s="2"/>
      <c r="G58" s="2"/>
      <c r="H58" s="2" t="s">
        <v>65</v>
      </c>
      <c r="I58" s="5">
        <v>45754</v>
      </c>
      <c r="J58" s="2" t="s">
        <v>82</v>
      </c>
      <c r="K58" s="5">
        <v>45758</v>
      </c>
      <c r="L58" s="5">
        <v>45758</v>
      </c>
      <c r="M58" s="2" t="s">
        <v>23</v>
      </c>
      <c r="N58" s="2" t="s">
        <v>195</v>
      </c>
      <c r="O58" s="5">
        <v>45758</v>
      </c>
      <c r="P58" s="5">
        <v>45758</v>
      </c>
      <c r="Q58" s="2" t="s">
        <v>55</v>
      </c>
      <c r="R58" s="2" t="s">
        <v>42</v>
      </c>
      <c r="S58" s="27"/>
      <c r="T58" s="8">
        <v>350.7</v>
      </c>
      <c r="U58" s="8">
        <v>61.64</v>
      </c>
      <c r="V58" s="9">
        <v>0</v>
      </c>
      <c r="W58" s="10" t="s">
        <v>196</v>
      </c>
      <c r="X58" s="2" t="str">
        <f>TRIM(UPPER(TabelaOrcamento[[#This Row],[STATUS COMERCIAL]]))</f>
        <v>CANCELADO</v>
      </c>
      <c r="Y58" s="2" t="s">
        <v>336</v>
      </c>
    </row>
    <row r="59" spans="1:25" hidden="1">
      <c r="A59" s="20">
        <f>ROW() - ROW(TabelaOrcamento[[#Headers],[INDEX]])</f>
        <v>53</v>
      </c>
      <c r="B59" s="4">
        <v>45778</v>
      </c>
      <c r="C59" s="2" t="s">
        <v>52</v>
      </c>
      <c r="D59" s="2" t="s">
        <v>211</v>
      </c>
      <c r="E59" s="2"/>
      <c r="F59" s="2"/>
      <c r="G59" s="2"/>
      <c r="H59" s="2" t="s">
        <v>65</v>
      </c>
      <c r="I59" s="5">
        <v>45819</v>
      </c>
      <c r="J59" s="2" t="s">
        <v>30</v>
      </c>
      <c r="K59" s="5">
        <v>45820</v>
      </c>
      <c r="L59" s="5"/>
      <c r="M59" s="2" t="s">
        <v>23</v>
      </c>
      <c r="N59" s="2" t="s">
        <v>167</v>
      </c>
      <c r="O59" s="5">
        <v>45821</v>
      </c>
      <c r="P59" s="5">
        <v>45821</v>
      </c>
      <c r="Q59" s="2" t="s">
        <v>41</v>
      </c>
      <c r="R59" s="2" t="s">
        <v>42</v>
      </c>
      <c r="S59" s="25">
        <v>3654146.6</v>
      </c>
      <c r="T59" s="47">
        <v>48559.055</v>
      </c>
      <c r="U59" s="8">
        <v>6062.2</v>
      </c>
      <c r="V59" s="9">
        <v>1</v>
      </c>
      <c r="W59" s="10"/>
      <c r="X59" s="2" t="str">
        <f>TRIM(UPPER(TabelaOrcamento[[#This Row],[STATUS COMERCIAL]]))</f>
        <v>CANCELADO</v>
      </c>
      <c r="Y59" s="2" t="s">
        <v>337</v>
      </c>
    </row>
    <row r="60" spans="1:25" hidden="1">
      <c r="A60" s="20">
        <f>ROW() - ROW(TabelaOrcamento[[#Headers],[INDEX]])</f>
        <v>54</v>
      </c>
      <c r="B60" s="4">
        <v>45778</v>
      </c>
      <c r="C60" s="2" t="s">
        <v>52</v>
      </c>
      <c r="D60" s="2" t="s">
        <v>212</v>
      </c>
      <c r="E60" s="2"/>
      <c r="F60" s="2"/>
      <c r="G60" s="2"/>
      <c r="H60" s="2" t="s">
        <v>65</v>
      </c>
      <c r="I60" s="5">
        <v>45819</v>
      </c>
      <c r="J60" s="2" t="s">
        <v>30</v>
      </c>
      <c r="K60" s="5">
        <v>45820</v>
      </c>
      <c r="L60" s="5"/>
      <c r="M60" s="2" t="s">
        <v>23</v>
      </c>
      <c r="N60" s="2" t="s">
        <v>213</v>
      </c>
      <c r="O60" s="5">
        <v>45821</v>
      </c>
      <c r="P60" s="5">
        <v>45821</v>
      </c>
      <c r="Q60" s="2" t="s">
        <v>41</v>
      </c>
      <c r="R60" s="2" t="s">
        <v>36</v>
      </c>
      <c r="S60" s="27">
        <v>3334571.41</v>
      </c>
      <c r="T60" s="8">
        <v>45499.27</v>
      </c>
      <c r="U60" s="8">
        <v>6062.2</v>
      </c>
      <c r="V60" s="9">
        <v>1</v>
      </c>
      <c r="W60" s="10"/>
      <c r="X60" s="2" t="str">
        <f>TRIM(UPPER(TabelaOrcamento[[#This Row],[STATUS COMERCIAL]]))</f>
        <v>CANCELADO</v>
      </c>
      <c r="Y60" s="2" t="s">
        <v>337</v>
      </c>
    </row>
    <row r="61" spans="1:25">
      <c r="A61" s="20">
        <f>ROW() - ROW(TabelaOrcamento[[#Headers],[INDEX]])</f>
        <v>55</v>
      </c>
      <c r="B61" s="4">
        <v>45778</v>
      </c>
      <c r="C61" s="2" t="s">
        <v>207</v>
      </c>
      <c r="D61" s="2" t="s">
        <v>84</v>
      </c>
      <c r="E61" s="2"/>
      <c r="F61" s="2"/>
      <c r="G61" s="2"/>
      <c r="H61" s="2" t="s">
        <v>65</v>
      </c>
      <c r="I61" s="5">
        <v>45737</v>
      </c>
      <c r="J61" s="2" t="s">
        <v>122</v>
      </c>
      <c r="K61" s="5">
        <v>45737</v>
      </c>
      <c r="L61" s="5">
        <v>45802</v>
      </c>
      <c r="M61" s="2" t="s">
        <v>23</v>
      </c>
      <c r="N61" s="2" t="s">
        <v>208</v>
      </c>
      <c r="O61" s="5">
        <v>45741</v>
      </c>
      <c r="P61" s="5">
        <v>45802</v>
      </c>
      <c r="Q61" s="2" t="s">
        <v>55</v>
      </c>
      <c r="R61" s="2" t="s">
        <v>36</v>
      </c>
      <c r="S61" s="27"/>
      <c r="T61" s="8">
        <v>451.85</v>
      </c>
      <c r="U61" s="8">
        <v>53.85</v>
      </c>
      <c r="V61" s="9">
        <v>0</v>
      </c>
      <c r="W61" s="10"/>
      <c r="X61" s="2" t="str">
        <f>TRIM(UPPER(TabelaOrcamento[[#This Row],[STATUS COMERCIAL]]))</f>
        <v>CANCELADO</v>
      </c>
      <c r="Y61" s="2" t="s">
        <v>336</v>
      </c>
    </row>
    <row r="62" spans="1:25" hidden="1">
      <c r="A62" s="20">
        <f>ROW() - ROW(TabelaOrcamento[[#Headers],[INDEX]])</f>
        <v>56</v>
      </c>
      <c r="B62" s="4">
        <v>45778</v>
      </c>
      <c r="C62" s="2" t="s">
        <v>52</v>
      </c>
      <c r="D62" s="2" t="s">
        <v>209</v>
      </c>
      <c r="E62" s="2"/>
      <c r="F62" s="2"/>
      <c r="G62" s="2" t="s">
        <v>333</v>
      </c>
      <c r="H62" s="2" t="s">
        <v>330</v>
      </c>
      <c r="I62" s="5">
        <v>45792</v>
      </c>
      <c r="J62" s="2" t="s">
        <v>30</v>
      </c>
      <c r="K62" s="5">
        <v>45805</v>
      </c>
      <c r="L62" s="5"/>
      <c r="M62" s="2" t="s">
        <v>23</v>
      </c>
      <c r="N62" s="2" t="s">
        <v>210</v>
      </c>
      <c r="O62" s="5">
        <v>45810</v>
      </c>
      <c r="P62" s="5">
        <v>45810</v>
      </c>
      <c r="Q62" s="2" t="s">
        <v>41</v>
      </c>
      <c r="R62" s="2"/>
      <c r="S62" s="27">
        <v>3018061.7</v>
      </c>
      <c r="T62" s="8">
        <v>45132</v>
      </c>
      <c r="U62" s="8"/>
      <c r="V62" s="9">
        <v>0</v>
      </c>
      <c r="W62" s="10"/>
      <c r="X62" s="2" t="str">
        <f>TRIM(UPPER(TabelaOrcamento[[#This Row],[STATUS COMERCIAL]]))</f>
        <v>EM ANDAMENTO</v>
      </c>
      <c r="Y62" s="2" t="s">
        <v>337</v>
      </c>
    </row>
    <row r="63" spans="1:25">
      <c r="A63" s="20">
        <f>ROW() - ROW(TabelaOrcamento[[#Headers],[INDEX]])</f>
        <v>57</v>
      </c>
      <c r="B63" s="4">
        <v>45779</v>
      </c>
      <c r="C63" s="2" t="s">
        <v>217</v>
      </c>
      <c r="D63" s="2" t="s">
        <v>218</v>
      </c>
      <c r="E63" s="2"/>
      <c r="F63" s="2"/>
      <c r="G63" s="2"/>
      <c r="H63" s="2" t="s">
        <v>296</v>
      </c>
      <c r="I63" s="5">
        <v>45798</v>
      </c>
      <c r="J63" s="2" t="s">
        <v>82</v>
      </c>
      <c r="K63" s="5">
        <v>45798</v>
      </c>
      <c r="L63" s="5">
        <v>45798</v>
      </c>
      <c r="M63" s="2" t="s">
        <v>23</v>
      </c>
      <c r="N63" s="2" t="s">
        <v>219</v>
      </c>
      <c r="O63" s="5">
        <v>45798</v>
      </c>
      <c r="P63" s="5"/>
      <c r="Q63" s="2" t="s">
        <v>55</v>
      </c>
      <c r="R63" s="2" t="s">
        <v>36</v>
      </c>
      <c r="S63" s="27"/>
      <c r="T63" s="8">
        <v>254.52</v>
      </c>
      <c r="U63" s="8">
        <v>120.8</v>
      </c>
      <c r="V63" s="9">
        <v>0</v>
      </c>
      <c r="W63" s="10"/>
      <c r="X63" s="2" t="str">
        <f>TRIM(UPPER(TabelaOrcamento[[#This Row],[STATUS COMERCIAL]]))</f>
        <v>FECHADO</v>
      </c>
      <c r="Y63" s="2" t="s">
        <v>338</v>
      </c>
    </row>
    <row r="64" spans="1:25" hidden="1">
      <c r="A64" s="20">
        <f>ROW() - ROW(TabelaOrcamento[[#Headers],[INDEX]])</f>
        <v>58</v>
      </c>
      <c r="B64" s="4">
        <v>45779</v>
      </c>
      <c r="C64" s="2" t="s">
        <v>220</v>
      </c>
      <c r="D64" s="2" t="s">
        <v>221</v>
      </c>
      <c r="E64" s="2"/>
      <c r="F64" s="2" t="s">
        <v>313</v>
      </c>
      <c r="G64" s="2" t="s">
        <v>333</v>
      </c>
      <c r="H64" s="2" t="s">
        <v>330</v>
      </c>
      <c r="I64" s="5">
        <v>45805</v>
      </c>
      <c r="J64" s="2" t="s">
        <v>122</v>
      </c>
      <c r="K64" s="5">
        <v>45812</v>
      </c>
      <c r="L64" s="5"/>
      <c r="M64" s="2" t="s">
        <v>23</v>
      </c>
      <c r="N64" s="2" t="s">
        <v>222</v>
      </c>
      <c r="O64" s="5">
        <v>45817</v>
      </c>
      <c r="P64" s="5"/>
      <c r="Q64" s="2" t="s">
        <v>41</v>
      </c>
      <c r="R64" s="2" t="s">
        <v>42</v>
      </c>
      <c r="S64" s="27">
        <v>403660.5</v>
      </c>
      <c r="T64" s="8">
        <v>7725.95</v>
      </c>
      <c r="U64" s="8"/>
      <c r="V64" s="9">
        <v>0</v>
      </c>
      <c r="W64" s="10"/>
      <c r="X64" s="2" t="str">
        <f>TRIM(UPPER(TabelaOrcamento[[#This Row],[STATUS COMERCIAL]]))</f>
        <v>EM ANDAMENTO</v>
      </c>
      <c r="Y64" s="2" t="s">
        <v>336</v>
      </c>
    </row>
    <row r="65" spans="1:25" hidden="1">
      <c r="A65" s="20">
        <f>ROW() - ROW(TabelaOrcamento[[#Headers],[INDEX]])</f>
        <v>59</v>
      </c>
      <c r="B65" s="4">
        <v>45779</v>
      </c>
      <c r="C65" s="2" t="s">
        <v>214</v>
      </c>
      <c r="D65" s="2" t="s">
        <v>215</v>
      </c>
      <c r="E65" s="2"/>
      <c r="F65" s="2"/>
      <c r="G65" s="2"/>
      <c r="H65" s="2" t="s">
        <v>296</v>
      </c>
      <c r="I65" s="5">
        <v>45796</v>
      </c>
      <c r="J65" s="2" t="s">
        <v>122</v>
      </c>
      <c r="K65" s="5">
        <v>45798</v>
      </c>
      <c r="L65" s="5">
        <v>45799</v>
      </c>
      <c r="M65" s="2" t="s">
        <v>23</v>
      </c>
      <c r="N65" s="2" t="s">
        <v>216</v>
      </c>
      <c r="O65" s="5">
        <v>45799</v>
      </c>
      <c r="P65" s="5">
        <v>45799</v>
      </c>
      <c r="Q65" s="2" t="s">
        <v>55</v>
      </c>
      <c r="R65" s="2" t="s">
        <v>26</v>
      </c>
      <c r="S65" s="27" t="s">
        <v>360</v>
      </c>
      <c r="T65" s="8">
        <v>648.88800000000003</v>
      </c>
      <c r="U65" s="8">
        <v>262.60000000000002</v>
      </c>
      <c r="V65" s="9">
        <v>0</v>
      </c>
      <c r="W65" s="10"/>
      <c r="X65" s="2" t="str">
        <f>TRIM(UPPER(TabelaOrcamento[[#This Row],[STATUS COMERCIAL]]))</f>
        <v>FECHADO</v>
      </c>
      <c r="Y65" s="2" t="s">
        <v>336</v>
      </c>
    </row>
    <row r="66" spans="1:25">
      <c r="A66" s="20">
        <f>ROW() - ROW(TabelaOrcamento[[#Headers],[INDEX]])</f>
        <v>60</v>
      </c>
      <c r="B66" s="4">
        <v>45782</v>
      </c>
      <c r="C66" s="2" t="s">
        <v>52</v>
      </c>
      <c r="D66" s="2" t="s">
        <v>223</v>
      </c>
      <c r="E66" s="2"/>
      <c r="F66" s="2"/>
      <c r="G66" s="2" t="s">
        <v>331</v>
      </c>
      <c r="H66" s="2" t="s">
        <v>65</v>
      </c>
      <c r="I66" s="5">
        <v>45799</v>
      </c>
      <c r="J66" s="2" t="s">
        <v>122</v>
      </c>
      <c r="K66" s="5">
        <v>45799</v>
      </c>
      <c r="L66" s="5"/>
      <c r="M66" s="2" t="s">
        <v>224</v>
      </c>
      <c r="N66" s="2"/>
      <c r="O66" s="5"/>
      <c r="P66" s="5"/>
      <c r="Q66" s="2"/>
      <c r="R66" s="2"/>
      <c r="S66" s="27"/>
      <c r="T66" s="8"/>
      <c r="U66" s="8"/>
      <c r="V66" s="9">
        <v>0</v>
      </c>
      <c r="W66" s="10"/>
      <c r="X66" s="2" t="str">
        <f>TRIM(UPPER(TabelaOrcamento[[#This Row],[STATUS COMERCIAL]]))</f>
        <v>CANCELADO</v>
      </c>
      <c r="Y66" s="2" t="s">
        <v>337</v>
      </c>
    </row>
    <row r="67" spans="1:25">
      <c r="A67" s="20">
        <f>ROW() - ROW(TabelaOrcamento[[#Headers],[INDEX]])</f>
        <v>61</v>
      </c>
      <c r="B67" s="4">
        <v>45783</v>
      </c>
      <c r="C67" s="2" t="s">
        <v>225</v>
      </c>
      <c r="D67" s="2" t="s">
        <v>226</v>
      </c>
      <c r="E67" s="2"/>
      <c r="F67" s="2"/>
      <c r="G67" s="2"/>
      <c r="H67" s="2" t="s">
        <v>65</v>
      </c>
      <c r="I67" s="5">
        <v>45803</v>
      </c>
      <c r="J67" s="2" t="s">
        <v>122</v>
      </c>
      <c r="K67" s="5">
        <v>45803</v>
      </c>
      <c r="L67" s="5" t="s">
        <v>227</v>
      </c>
      <c r="M67" s="2" t="s">
        <v>23</v>
      </c>
      <c r="N67" s="2" t="s">
        <v>228</v>
      </c>
      <c r="O67" s="5">
        <v>45804</v>
      </c>
      <c r="P67" s="5"/>
      <c r="Q67" s="2" t="s">
        <v>55</v>
      </c>
      <c r="R67" s="2" t="s">
        <v>36</v>
      </c>
      <c r="S67" s="27"/>
      <c r="T67" s="8">
        <v>561.25800000000004</v>
      </c>
      <c r="U67" s="8">
        <v>57.07</v>
      </c>
      <c r="V67" s="9">
        <v>0</v>
      </c>
      <c r="W67" s="10"/>
      <c r="X67" s="2" t="str">
        <f>TRIM(UPPER(TabelaOrcamento[[#This Row],[STATUS COMERCIAL]]))</f>
        <v>CANCELADO</v>
      </c>
      <c r="Y67" s="2" t="s">
        <v>338</v>
      </c>
    </row>
    <row r="68" spans="1:25">
      <c r="A68" s="20">
        <f>ROW() - ROW(TabelaOrcamento[[#Headers],[INDEX]])</f>
        <v>62</v>
      </c>
      <c r="B68" s="4">
        <v>45784</v>
      </c>
      <c r="C68" s="2" t="s">
        <v>225</v>
      </c>
      <c r="D68" s="2" t="s">
        <v>234</v>
      </c>
      <c r="E68" s="2"/>
      <c r="F68" s="2"/>
      <c r="G68" s="2"/>
      <c r="H68" s="2" t="s">
        <v>65</v>
      </c>
      <c r="I68" s="5">
        <v>45803</v>
      </c>
      <c r="J68" s="2" t="s">
        <v>122</v>
      </c>
      <c r="K68" s="5">
        <v>45803</v>
      </c>
      <c r="L68" s="5">
        <v>45804</v>
      </c>
      <c r="M68" s="2" t="s">
        <v>23</v>
      </c>
      <c r="N68" s="2" t="s">
        <v>235</v>
      </c>
      <c r="O68" s="5">
        <v>45804</v>
      </c>
      <c r="P68" s="5"/>
      <c r="Q68" s="2" t="s">
        <v>55</v>
      </c>
      <c r="R68" s="2" t="s">
        <v>36</v>
      </c>
      <c r="S68" s="27"/>
      <c r="T68" s="8">
        <v>580.88</v>
      </c>
      <c r="U68" s="8">
        <v>47.5</v>
      </c>
      <c r="V68" s="9">
        <v>0</v>
      </c>
      <c r="W68" s="10"/>
      <c r="X68" s="2" t="str">
        <f>TRIM(UPPER(TabelaOrcamento[[#This Row],[STATUS COMERCIAL]]))</f>
        <v>CANCELADO</v>
      </c>
      <c r="Y68" s="2" t="s">
        <v>338</v>
      </c>
    </row>
    <row r="69" spans="1:25" hidden="1">
      <c r="A69" s="20">
        <f>ROW() - ROW(TabelaOrcamento[[#Headers],[INDEX]])</f>
        <v>63</v>
      </c>
      <c r="B69" s="4">
        <v>45784</v>
      </c>
      <c r="C69" s="2" t="s">
        <v>229</v>
      </c>
      <c r="D69" s="2" t="s">
        <v>230</v>
      </c>
      <c r="E69" s="2"/>
      <c r="F69" s="2"/>
      <c r="G69" s="2"/>
      <c r="H69" s="2" t="s">
        <v>65</v>
      </c>
      <c r="I69" s="5">
        <v>45784</v>
      </c>
      <c r="J69" s="2" t="s">
        <v>30</v>
      </c>
      <c r="K69" s="5">
        <v>45784</v>
      </c>
      <c r="L69" s="5">
        <v>45785</v>
      </c>
      <c r="M69" s="2" t="s">
        <v>23</v>
      </c>
      <c r="N69" s="2" t="s">
        <v>231</v>
      </c>
      <c r="O69" s="5"/>
      <c r="P69" s="5"/>
      <c r="Q69" s="2" t="s">
        <v>55</v>
      </c>
      <c r="R69" s="2" t="s">
        <v>232</v>
      </c>
      <c r="S69" s="27">
        <v>53839.59</v>
      </c>
      <c r="T69" s="8">
        <v>328</v>
      </c>
      <c r="U69" s="8"/>
      <c r="V69" s="9">
        <v>0</v>
      </c>
      <c r="W69" s="10" t="s">
        <v>233</v>
      </c>
      <c r="X69" s="2" t="str">
        <f>TRIM(UPPER(TabelaOrcamento[[#This Row],[STATUS COMERCIAL]]))</f>
        <v>CANCELADO</v>
      </c>
      <c r="Y69" s="2" t="s">
        <v>338</v>
      </c>
    </row>
    <row r="70" spans="1:25">
      <c r="A70" s="20">
        <f>ROW() - ROW(TabelaOrcamento[[#Headers],[INDEX]])</f>
        <v>64</v>
      </c>
      <c r="B70" s="4">
        <v>45785</v>
      </c>
      <c r="C70" s="2" t="s">
        <v>236</v>
      </c>
      <c r="D70" s="2" t="s">
        <v>237</v>
      </c>
      <c r="E70" s="2"/>
      <c r="F70" s="2"/>
      <c r="G70" s="2" t="s">
        <v>331</v>
      </c>
      <c r="H70" s="2" t="s">
        <v>330</v>
      </c>
      <c r="I70" s="5">
        <v>45787</v>
      </c>
      <c r="J70" s="2" t="s">
        <v>30</v>
      </c>
      <c r="K70" s="5">
        <v>45789</v>
      </c>
      <c r="L70" s="5">
        <v>45790</v>
      </c>
      <c r="M70" s="2" t="s">
        <v>23</v>
      </c>
      <c r="N70" s="2" t="s">
        <v>238</v>
      </c>
      <c r="O70" s="5">
        <v>45790</v>
      </c>
      <c r="P70" s="5">
        <v>45790</v>
      </c>
      <c r="Q70" s="2" t="s">
        <v>55</v>
      </c>
      <c r="R70" s="2" t="s">
        <v>232</v>
      </c>
      <c r="S70" s="27"/>
      <c r="T70" s="8"/>
      <c r="U70" s="8"/>
      <c r="V70" s="9">
        <v>0</v>
      </c>
      <c r="W70" s="10"/>
      <c r="X70" s="2" t="str">
        <f>TRIM(UPPER(TabelaOrcamento[[#This Row],[STATUS COMERCIAL]]))</f>
        <v>EM ANDAMENTO</v>
      </c>
      <c r="Y70" s="2"/>
    </row>
    <row r="71" spans="1:25" hidden="1">
      <c r="A71" s="20">
        <f>ROW() - ROW(TabelaOrcamento[[#Headers],[INDEX]])</f>
        <v>65</v>
      </c>
      <c r="B71" s="4">
        <v>45786</v>
      </c>
      <c r="C71" s="2" t="s">
        <v>242</v>
      </c>
      <c r="D71" s="2" t="s">
        <v>243</v>
      </c>
      <c r="E71" s="2"/>
      <c r="F71" s="2"/>
      <c r="G71" s="2"/>
      <c r="H71" s="2" t="s">
        <v>65</v>
      </c>
      <c r="I71" s="5">
        <v>45804</v>
      </c>
      <c r="J71" s="2" t="s">
        <v>160</v>
      </c>
      <c r="K71" s="5">
        <v>45805</v>
      </c>
      <c r="L71" s="5"/>
      <c r="M71" s="2" t="s">
        <v>23</v>
      </c>
      <c r="N71" s="2" t="s">
        <v>244</v>
      </c>
      <c r="O71" s="5">
        <v>45805</v>
      </c>
      <c r="P71" s="5"/>
      <c r="Q71" s="2" t="s">
        <v>55</v>
      </c>
      <c r="R71" s="2" t="s">
        <v>36</v>
      </c>
      <c r="S71" s="27">
        <v>35789.620000000003</v>
      </c>
      <c r="T71" s="8">
        <v>583.87</v>
      </c>
      <c r="U71" s="8"/>
      <c r="V71" s="9">
        <v>0</v>
      </c>
      <c r="W71" s="10"/>
      <c r="X71" s="2" t="str">
        <f>TRIM(UPPER(TabelaOrcamento[[#This Row],[STATUS COMERCIAL]]))</f>
        <v>CANCELADO</v>
      </c>
      <c r="Y71" s="2" t="s">
        <v>338</v>
      </c>
    </row>
    <row r="72" spans="1:25" hidden="1">
      <c r="A72" s="20">
        <f>ROW() - ROW(TabelaOrcamento[[#Headers],[INDEX]])</f>
        <v>66</v>
      </c>
      <c r="B72" s="4">
        <v>45786</v>
      </c>
      <c r="C72" s="2" t="s">
        <v>239</v>
      </c>
      <c r="D72" s="2" t="s">
        <v>240</v>
      </c>
      <c r="E72" s="2"/>
      <c r="F72" s="2" t="s">
        <v>314</v>
      </c>
      <c r="G72" s="2" t="s">
        <v>331</v>
      </c>
      <c r="H72" s="2" t="s">
        <v>330</v>
      </c>
      <c r="I72" s="5">
        <v>45790</v>
      </c>
      <c r="J72" s="2"/>
      <c r="K72" s="5"/>
      <c r="L72" s="5">
        <v>45791</v>
      </c>
      <c r="M72" s="2" t="s">
        <v>23</v>
      </c>
      <c r="N72" s="2" t="s">
        <v>241</v>
      </c>
      <c r="O72" s="5">
        <v>45792</v>
      </c>
      <c r="P72" s="5">
        <v>45792</v>
      </c>
      <c r="Q72" s="2" t="s">
        <v>55</v>
      </c>
      <c r="R72" s="2" t="s">
        <v>36</v>
      </c>
      <c r="S72" s="27">
        <v>43554.36</v>
      </c>
      <c r="T72" s="8">
        <v>594.76800000000003</v>
      </c>
      <c r="U72" s="8"/>
      <c r="V72" s="9">
        <v>0</v>
      </c>
      <c r="W72" s="10"/>
      <c r="X72" s="2" t="str">
        <f>TRIM(UPPER(TabelaOrcamento[[#This Row],[STATUS COMERCIAL]]))</f>
        <v>EM ANDAMENTO</v>
      </c>
      <c r="Y72" s="2" t="s">
        <v>337</v>
      </c>
    </row>
    <row r="73" spans="1:25">
      <c r="A73" s="20">
        <f>ROW() - ROW(TabelaOrcamento[[#Headers],[INDEX]])</f>
        <v>67</v>
      </c>
      <c r="B73" s="4">
        <v>45787</v>
      </c>
      <c r="C73" s="2" t="s">
        <v>245</v>
      </c>
      <c r="D73" s="2" t="s">
        <v>246</v>
      </c>
      <c r="E73" s="2"/>
      <c r="F73" s="2"/>
      <c r="G73" s="2"/>
      <c r="H73" s="2" t="s">
        <v>65</v>
      </c>
      <c r="I73" s="5">
        <v>45805</v>
      </c>
      <c r="J73" s="2" t="s">
        <v>82</v>
      </c>
      <c r="K73" s="5">
        <v>45804</v>
      </c>
      <c r="L73" s="5"/>
      <c r="M73" s="2" t="s">
        <v>23</v>
      </c>
      <c r="N73" s="2" t="s">
        <v>247</v>
      </c>
      <c r="O73" s="5">
        <v>45805</v>
      </c>
      <c r="P73" s="5"/>
      <c r="Q73" s="2" t="s">
        <v>55</v>
      </c>
      <c r="R73" s="2" t="s">
        <v>36</v>
      </c>
      <c r="S73" s="27"/>
      <c r="T73" s="8">
        <v>391.32</v>
      </c>
      <c r="U73" s="8">
        <v>190.19</v>
      </c>
      <c r="V73" s="9">
        <v>0</v>
      </c>
      <c r="W73" s="10"/>
      <c r="X73" s="2" t="str">
        <f>TRIM(UPPER(TabelaOrcamento[[#This Row],[STATUS COMERCIAL]]))</f>
        <v>CANCELADO</v>
      </c>
      <c r="Y73" s="2" t="s">
        <v>336</v>
      </c>
    </row>
    <row r="74" spans="1:25">
      <c r="A74" s="20">
        <f>ROW() - ROW(TabelaOrcamento[[#Headers],[INDEX]])</f>
        <v>68</v>
      </c>
      <c r="B74" s="4">
        <v>45809</v>
      </c>
      <c r="C74" s="2" t="s">
        <v>86</v>
      </c>
      <c r="D74" s="2" t="s">
        <v>252</v>
      </c>
      <c r="E74" s="45" t="s">
        <v>318</v>
      </c>
      <c r="F74" s="2"/>
      <c r="G74" s="2" t="s">
        <v>332</v>
      </c>
      <c r="H74" s="2" t="s">
        <v>330</v>
      </c>
      <c r="I74" s="5">
        <v>45831</v>
      </c>
      <c r="J74" s="2" t="s">
        <v>30</v>
      </c>
      <c r="K74" s="5">
        <v>45835</v>
      </c>
      <c r="L74" s="5"/>
      <c r="M74" s="2" t="s">
        <v>23</v>
      </c>
      <c r="N74" s="2" t="s">
        <v>253</v>
      </c>
      <c r="O74" s="5">
        <v>45838</v>
      </c>
      <c r="P74" s="5">
        <v>45838</v>
      </c>
      <c r="Q74" s="2" t="s">
        <v>41</v>
      </c>
      <c r="R74" s="2" t="s">
        <v>42</v>
      </c>
      <c r="S74" s="27"/>
      <c r="T74" s="8">
        <v>33494.235999999997</v>
      </c>
      <c r="U74" s="8">
        <v>3856.71</v>
      </c>
      <c r="V74" s="9">
        <v>1</v>
      </c>
      <c r="W74" s="10" t="s">
        <v>254</v>
      </c>
      <c r="X74" s="2" t="str">
        <f>TRIM(UPPER(TabelaOrcamento[[#This Row],[STATUS COMERCIAL]]))</f>
        <v>EM ANDAMENTO</v>
      </c>
      <c r="Y74" s="2" t="s">
        <v>337</v>
      </c>
    </row>
    <row r="75" spans="1:25">
      <c r="A75" s="20">
        <f>ROW() - ROW(TabelaOrcamento[[#Headers],[INDEX]])</f>
        <v>69</v>
      </c>
      <c r="B75" s="4">
        <v>45809</v>
      </c>
      <c r="C75" s="2" t="s">
        <v>248</v>
      </c>
      <c r="D75" s="2" t="s">
        <v>249</v>
      </c>
      <c r="E75" s="45" t="s">
        <v>317</v>
      </c>
      <c r="F75" s="2"/>
      <c r="G75" s="2" t="s">
        <v>332</v>
      </c>
      <c r="H75" s="2" t="s">
        <v>330</v>
      </c>
      <c r="I75" s="5">
        <v>45813</v>
      </c>
      <c r="J75" s="2" t="s">
        <v>30</v>
      </c>
      <c r="K75" s="5">
        <v>45838</v>
      </c>
      <c r="L75" s="5"/>
      <c r="M75" s="2" t="s">
        <v>23</v>
      </c>
      <c r="N75" s="2" t="s">
        <v>250</v>
      </c>
      <c r="O75" s="5">
        <v>45842</v>
      </c>
      <c r="P75" s="5"/>
      <c r="Q75" s="2" t="s">
        <v>41</v>
      </c>
      <c r="R75" s="2" t="s">
        <v>42</v>
      </c>
      <c r="S75" s="27"/>
      <c r="T75" s="8">
        <v>7945.0140000000001</v>
      </c>
      <c r="U75" s="8">
        <v>1051.54</v>
      </c>
      <c r="V75" s="9">
        <v>0</v>
      </c>
      <c r="W75" s="10"/>
      <c r="X75" s="2" t="str">
        <f>TRIM(UPPER(TabelaOrcamento[[#This Row],[STATUS COMERCIAL]]))</f>
        <v>EM ANDAMENTO</v>
      </c>
      <c r="Y75" s="2" t="s">
        <v>337</v>
      </c>
    </row>
    <row r="76" spans="1:25">
      <c r="A76" s="20">
        <f>ROW() - ROW(TabelaOrcamento[[#Headers],[INDEX]])</f>
        <v>70</v>
      </c>
      <c r="B76" s="4">
        <v>45809</v>
      </c>
      <c r="C76" s="2" t="s">
        <v>52</v>
      </c>
      <c r="D76" s="2" t="s">
        <v>251</v>
      </c>
      <c r="E76" s="2"/>
      <c r="F76" s="2"/>
      <c r="G76" s="2"/>
      <c r="H76" s="2" t="s">
        <v>65</v>
      </c>
      <c r="I76" s="5">
        <v>45826</v>
      </c>
      <c r="J76" s="2" t="s">
        <v>30</v>
      </c>
      <c r="K76" s="5">
        <v>45831</v>
      </c>
      <c r="L76" s="5"/>
      <c r="M76" s="2" t="s">
        <v>23</v>
      </c>
      <c r="N76" s="2" t="s">
        <v>167</v>
      </c>
      <c r="O76" s="5"/>
      <c r="P76" s="5"/>
      <c r="Q76" s="2" t="s">
        <v>41</v>
      </c>
      <c r="R76" s="2" t="s">
        <v>42</v>
      </c>
      <c r="S76" s="27"/>
      <c r="T76" s="8"/>
      <c r="U76" s="8"/>
      <c r="V76" s="9">
        <v>0</v>
      </c>
      <c r="W76" s="10"/>
      <c r="X76" s="2" t="str">
        <f>TRIM(UPPER(TabelaOrcamento[[#This Row],[STATUS COMERCIAL]]))</f>
        <v>CANCELADO</v>
      </c>
      <c r="Y76" s="2" t="s">
        <v>337</v>
      </c>
    </row>
    <row r="77" spans="1:25" hidden="1">
      <c r="A77" s="20">
        <f>ROW() - ROW(TabelaOrcamento[[#Headers],[INDEX]])</f>
        <v>71</v>
      </c>
      <c r="B77" s="4">
        <v>45811</v>
      </c>
      <c r="C77" s="2" t="s">
        <v>52</v>
      </c>
      <c r="D77" s="2" t="s">
        <v>329</v>
      </c>
      <c r="E77" s="2"/>
      <c r="F77" s="2"/>
      <c r="G77" s="2" t="s">
        <v>332</v>
      </c>
      <c r="H77" s="2" t="s">
        <v>330</v>
      </c>
      <c r="I77" s="5">
        <v>45817</v>
      </c>
      <c r="J77" s="2" t="s">
        <v>30</v>
      </c>
      <c r="K77" s="5">
        <v>45824</v>
      </c>
      <c r="L77" s="5"/>
      <c r="M77" s="2" t="s">
        <v>23</v>
      </c>
      <c r="N77" s="2" t="s">
        <v>255</v>
      </c>
      <c r="O77" s="5">
        <v>45859</v>
      </c>
      <c r="P77" s="5">
        <v>45859</v>
      </c>
      <c r="Q77" s="2" t="s">
        <v>41</v>
      </c>
      <c r="R77" s="2" t="s">
        <v>42</v>
      </c>
      <c r="S77" s="27">
        <v>3583094.76</v>
      </c>
      <c r="T77" s="8">
        <v>51874.978000000003</v>
      </c>
      <c r="U77" s="8">
        <v>5937.36</v>
      </c>
      <c r="V77" s="9">
        <v>1</v>
      </c>
      <c r="W77" s="10" t="s">
        <v>256</v>
      </c>
      <c r="X77" s="2" t="str">
        <f>TRIM(UPPER(TabelaOrcamento[[#This Row],[STATUS COMERCIAL]]))</f>
        <v>EM ANDAMENTO</v>
      </c>
      <c r="Y77" s="2" t="s">
        <v>337</v>
      </c>
    </row>
    <row r="78" spans="1:25" hidden="1">
      <c r="A78" s="20">
        <f>ROW() - ROW(TabelaOrcamento[[#Headers],[INDEX]])</f>
        <v>72</v>
      </c>
      <c r="B78" s="4">
        <v>45812</v>
      </c>
      <c r="C78" s="2" t="s">
        <v>169</v>
      </c>
      <c r="D78" s="2" t="s">
        <v>257</v>
      </c>
      <c r="E78" s="2"/>
      <c r="F78" s="2" t="s">
        <v>309</v>
      </c>
      <c r="G78" s="2"/>
      <c r="H78" s="2" t="s">
        <v>65</v>
      </c>
      <c r="I78" s="5">
        <v>45764</v>
      </c>
      <c r="J78" s="2" t="s">
        <v>122</v>
      </c>
      <c r="K78" s="5">
        <v>45775</v>
      </c>
      <c r="L78" s="5">
        <v>45776</v>
      </c>
      <c r="M78" s="2" t="s">
        <v>23</v>
      </c>
      <c r="N78" s="2" t="s">
        <v>258</v>
      </c>
      <c r="O78" s="5">
        <v>45832</v>
      </c>
      <c r="P78" s="5"/>
      <c r="Q78" s="2" t="s">
        <v>55</v>
      </c>
      <c r="R78" s="2" t="s">
        <v>42</v>
      </c>
      <c r="S78" s="27">
        <v>1858886.48</v>
      </c>
      <c r="T78" s="8">
        <v>29515.439999999999</v>
      </c>
      <c r="U78" s="8">
        <v>3518.79</v>
      </c>
      <c r="V78" s="9">
        <v>0</v>
      </c>
      <c r="W78" s="10" t="s">
        <v>172</v>
      </c>
      <c r="X78" s="2" t="str">
        <f>TRIM(UPPER(TabelaOrcamento[[#This Row],[STATUS COMERCIAL]]))</f>
        <v>CANCELADO</v>
      </c>
      <c r="Y78" s="2" t="s">
        <v>336</v>
      </c>
    </row>
    <row r="79" spans="1:25">
      <c r="A79" s="20">
        <f>ROW() - ROW(TabelaOrcamento[[#Headers],[INDEX]])</f>
        <v>73</v>
      </c>
      <c r="B79" s="60">
        <v>45812</v>
      </c>
      <c r="C79" s="61" t="s">
        <v>248</v>
      </c>
      <c r="D79" s="61" t="s">
        <v>259</v>
      </c>
      <c r="E79" s="62" t="s">
        <v>317</v>
      </c>
      <c r="F79" s="61"/>
      <c r="G79" s="61" t="s">
        <v>332</v>
      </c>
      <c r="H79" s="61" t="s">
        <v>330</v>
      </c>
      <c r="I79" s="5">
        <v>45813</v>
      </c>
      <c r="J79" s="2" t="s">
        <v>30</v>
      </c>
      <c r="K79" s="5"/>
      <c r="L79" s="5"/>
      <c r="M79" s="2" t="s">
        <v>23</v>
      </c>
      <c r="N79" s="2" t="s">
        <v>260</v>
      </c>
      <c r="O79" s="5"/>
      <c r="P79" s="5"/>
      <c r="Q79" s="2"/>
      <c r="R79" s="2"/>
      <c r="S79" s="27"/>
      <c r="T79" s="8"/>
      <c r="U79" s="8"/>
      <c r="V79" s="9">
        <v>0</v>
      </c>
      <c r="W79" s="10" t="s">
        <v>172</v>
      </c>
      <c r="X79" s="2" t="str">
        <f>TRIM(UPPER(TabelaOrcamento[[#This Row],[STATUS COMERCIAL]]))</f>
        <v>EM ANDAMENTO</v>
      </c>
      <c r="Y79" s="2" t="s">
        <v>337</v>
      </c>
    </row>
    <row r="80" spans="1:25" hidden="1">
      <c r="A80" s="20">
        <f>ROW() - ROW(TabelaOrcamento[[#Headers],[INDEX]])</f>
        <v>74</v>
      </c>
      <c r="B80" s="4">
        <v>45839</v>
      </c>
      <c r="C80" s="2" t="s">
        <v>261</v>
      </c>
      <c r="D80" s="2" t="s">
        <v>262</v>
      </c>
      <c r="E80" s="45" t="s">
        <v>320</v>
      </c>
      <c r="F80" s="2"/>
      <c r="G80" s="2" t="s">
        <v>333</v>
      </c>
      <c r="H80" s="2" t="s">
        <v>330</v>
      </c>
      <c r="I80" s="5">
        <v>45841</v>
      </c>
      <c r="J80" s="2" t="s">
        <v>30</v>
      </c>
      <c r="K80" s="5">
        <v>45853</v>
      </c>
      <c r="L80" s="5"/>
      <c r="M80" s="2" t="s">
        <v>23</v>
      </c>
      <c r="N80" s="2" t="s">
        <v>263</v>
      </c>
      <c r="O80" s="5">
        <v>45856</v>
      </c>
      <c r="P80" s="5">
        <v>45856</v>
      </c>
      <c r="Q80" s="2" t="s">
        <v>55</v>
      </c>
      <c r="R80" s="2"/>
      <c r="S80" s="27">
        <v>1191369.27</v>
      </c>
      <c r="T80" s="8">
        <v>17341.674999999999</v>
      </c>
      <c r="U80" s="8"/>
      <c r="V80" s="9">
        <v>0</v>
      </c>
      <c r="W80" s="10"/>
      <c r="X80" s="2" t="str">
        <f>TRIM(UPPER(TabelaOrcamento[[#This Row],[STATUS COMERCIAL]]))</f>
        <v>EM ANDAMENTO</v>
      </c>
      <c r="Y80" s="2" t="s">
        <v>336</v>
      </c>
    </row>
    <row r="81" spans="1:537" hidden="1">
      <c r="A81" s="20">
        <f>ROW() - ROW(TabelaOrcamento[[#Headers],[INDEX]])</f>
        <v>75</v>
      </c>
      <c r="B81" s="4">
        <v>45839</v>
      </c>
      <c r="C81" s="2" t="s">
        <v>269</v>
      </c>
      <c r="D81" s="2" t="s">
        <v>270</v>
      </c>
      <c r="E81" s="45" t="s">
        <v>322</v>
      </c>
      <c r="F81" s="2"/>
      <c r="G81" s="2" t="s">
        <v>332</v>
      </c>
      <c r="H81" s="2" t="s">
        <v>330</v>
      </c>
      <c r="I81" s="5">
        <v>45862</v>
      </c>
      <c r="J81" s="2" t="s">
        <v>30</v>
      </c>
      <c r="K81" s="5">
        <v>45862</v>
      </c>
      <c r="L81" s="5"/>
      <c r="M81" s="2" t="s">
        <v>23</v>
      </c>
      <c r="N81" s="2" t="s">
        <v>271</v>
      </c>
      <c r="O81" s="5">
        <v>45862</v>
      </c>
      <c r="P81" s="5">
        <v>45862</v>
      </c>
      <c r="Q81" s="2" t="s">
        <v>41</v>
      </c>
      <c r="R81" s="2" t="s">
        <v>36</v>
      </c>
      <c r="S81" s="27">
        <v>556433.43000000005</v>
      </c>
      <c r="T81" s="8">
        <v>9150.7000000000007</v>
      </c>
      <c r="U81" s="8">
        <v>41.12</v>
      </c>
      <c r="V81" s="9">
        <v>0</v>
      </c>
      <c r="W81" s="10" t="s">
        <v>272</v>
      </c>
      <c r="X81" s="2" t="str">
        <f>TRIM(UPPER(TabelaOrcamento[[#This Row],[STATUS COMERCIAL]]))</f>
        <v>EM ANDAMENTO</v>
      </c>
      <c r="Y81" s="2" t="s">
        <v>337</v>
      </c>
    </row>
    <row r="82" spans="1:537" hidden="1">
      <c r="A82" s="20">
        <f>ROW() - ROW(TabelaOrcamento[[#Headers],[INDEX]])</f>
        <v>76</v>
      </c>
      <c r="B82" s="4">
        <v>45839</v>
      </c>
      <c r="C82" s="2" t="s">
        <v>135</v>
      </c>
      <c r="D82" s="2" t="s">
        <v>279</v>
      </c>
      <c r="E82" s="2"/>
      <c r="F82" s="2"/>
      <c r="G82" s="2" t="s">
        <v>333</v>
      </c>
      <c r="H82" s="2" t="s">
        <v>330</v>
      </c>
      <c r="I82" s="5">
        <v>45862</v>
      </c>
      <c r="J82" s="2" t="s">
        <v>30</v>
      </c>
      <c r="K82" s="5"/>
      <c r="L82" s="5"/>
      <c r="M82" s="2" t="s">
        <v>23</v>
      </c>
      <c r="N82" s="2"/>
      <c r="O82" s="5"/>
      <c r="P82" s="5"/>
      <c r="Q82" s="2"/>
      <c r="R82" s="2"/>
      <c r="S82" s="27">
        <v>246446.61</v>
      </c>
      <c r="T82" s="8">
        <v>3687.5</v>
      </c>
      <c r="U82" s="8"/>
      <c r="V82" s="9">
        <v>0</v>
      </c>
      <c r="W82" s="10"/>
      <c r="X82" s="2" t="str">
        <f>TRIM(UPPER(TabelaOrcamento[[#This Row],[STATUS COMERCIAL]]))</f>
        <v>EM ANDAMENTO</v>
      </c>
      <c r="Y82" s="2" t="s">
        <v>337</v>
      </c>
    </row>
    <row r="83" spans="1:537" hidden="1">
      <c r="A83" s="20">
        <f>ROW() - ROW(TabelaOrcamento[[#Headers],[INDEX]])</f>
        <v>77</v>
      </c>
      <c r="B83" s="4">
        <v>45839</v>
      </c>
      <c r="C83" s="2" t="s">
        <v>142</v>
      </c>
      <c r="D83" s="2" t="s">
        <v>268</v>
      </c>
      <c r="E83" s="45" t="s">
        <v>321</v>
      </c>
      <c r="F83" s="2"/>
      <c r="G83" s="2" t="s">
        <v>332</v>
      </c>
      <c r="H83" s="2" t="s">
        <v>330</v>
      </c>
      <c r="I83" s="5">
        <v>45862</v>
      </c>
      <c r="J83" s="2" t="s">
        <v>30</v>
      </c>
      <c r="K83" s="5"/>
      <c r="L83" s="5"/>
      <c r="M83" s="2" t="s">
        <v>65</v>
      </c>
      <c r="N83" s="2"/>
      <c r="O83" s="5"/>
      <c r="P83" s="5"/>
      <c r="Q83" s="2"/>
      <c r="R83" s="2"/>
      <c r="S83" s="27">
        <v>1129815.81</v>
      </c>
      <c r="T83" s="8">
        <v>17484.669999999998</v>
      </c>
      <c r="U83" s="8"/>
      <c r="V83" s="9">
        <v>0</v>
      </c>
      <c r="W83" s="10"/>
      <c r="X83" s="2" t="str">
        <f>TRIM(UPPER(TabelaOrcamento[[#This Row],[STATUS COMERCIAL]]))</f>
        <v>EM ANDAMENTO</v>
      </c>
      <c r="Y83" s="2" t="s">
        <v>337</v>
      </c>
    </row>
    <row r="84" spans="1:537">
      <c r="A84" s="20">
        <f>ROW() - ROW(TabelaOrcamento[[#Headers],[INDEX]])</f>
        <v>78</v>
      </c>
      <c r="B84" s="4">
        <v>45839</v>
      </c>
      <c r="C84" s="2" t="s">
        <v>266</v>
      </c>
      <c r="D84" s="2" t="s">
        <v>267</v>
      </c>
      <c r="E84" s="2"/>
      <c r="F84" s="2"/>
      <c r="G84" s="2"/>
      <c r="H84" s="2" t="s">
        <v>65</v>
      </c>
      <c r="I84" s="5">
        <v>45860</v>
      </c>
      <c r="J84" s="2" t="s">
        <v>30</v>
      </c>
      <c r="K84" s="5"/>
      <c r="L84" s="5"/>
      <c r="M84" s="2" t="s">
        <v>65</v>
      </c>
      <c r="N84" s="2"/>
      <c r="O84" s="5"/>
      <c r="P84" s="5"/>
      <c r="Q84" s="2"/>
      <c r="R84" s="2"/>
      <c r="S84" s="27"/>
      <c r="T84" s="8"/>
      <c r="U84" s="8"/>
      <c r="V84" s="9">
        <v>0</v>
      </c>
      <c r="W84" s="10"/>
      <c r="X84" s="2" t="str">
        <f>TRIM(UPPER(TabelaOrcamento[[#This Row],[STATUS COMERCIAL]]))</f>
        <v>CANCELADO</v>
      </c>
      <c r="Y84" s="2" t="s">
        <v>337</v>
      </c>
    </row>
    <row r="85" spans="1:537">
      <c r="A85" s="20">
        <f>ROW() - ROW(TabelaOrcamento[[#Headers],[INDEX]])</f>
        <v>79</v>
      </c>
      <c r="B85" s="4">
        <v>45839</v>
      </c>
      <c r="C85" s="2" t="s">
        <v>273</v>
      </c>
      <c r="D85" s="2" t="s">
        <v>274</v>
      </c>
      <c r="E85" s="45" t="s">
        <v>324</v>
      </c>
      <c r="F85" s="2" t="s">
        <v>323</v>
      </c>
      <c r="G85" s="2" t="s">
        <v>332</v>
      </c>
      <c r="H85" s="2" t="s">
        <v>330</v>
      </c>
      <c r="I85" s="5">
        <v>45862</v>
      </c>
      <c r="J85" s="2" t="s">
        <v>30</v>
      </c>
      <c r="K85" s="5">
        <v>45868</v>
      </c>
      <c r="L85" s="5"/>
      <c r="M85" s="2" t="s">
        <v>23</v>
      </c>
      <c r="N85" s="2" t="s">
        <v>275</v>
      </c>
      <c r="O85" s="5"/>
      <c r="P85" s="5"/>
      <c r="Q85" s="2" t="s">
        <v>41</v>
      </c>
      <c r="R85" s="2" t="s">
        <v>42</v>
      </c>
      <c r="T85" s="8"/>
      <c r="U85" s="8"/>
      <c r="V85" s="9">
        <v>0</v>
      </c>
      <c r="W85" s="10"/>
      <c r="X85" s="2" t="str">
        <f>TRIM(UPPER(TabelaOrcamento[[#This Row],[STATUS COMERCIAL]]))</f>
        <v>EM ANDAMENTO</v>
      </c>
      <c r="Y85" s="2" t="s">
        <v>337</v>
      </c>
    </row>
    <row r="86" spans="1:537">
      <c r="A86" s="20">
        <f>ROW() - ROW(TabelaOrcamento[[#Headers],[INDEX]])</f>
        <v>80</v>
      </c>
      <c r="B86" s="4">
        <v>45839</v>
      </c>
      <c r="C86" s="2" t="s">
        <v>57</v>
      </c>
      <c r="D86" s="2" t="s">
        <v>264</v>
      </c>
      <c r="E86" s="2"/>
      <c r="F86" s="2"/>
      <c r="G86" s="2" t="s">
        <v>332</v>
      </c>
      <c r="H86" s="2" t="s">
        <v>330</v>
      </c>
      <c r="I86" s="5">
        <v>45859</v>
      </c>
      <c r="J86" s="2" t="s">
        <v>122</v>
      </c>
      <c r="K86" s="5">
        <v>45859</v>
      </c>
      <c r="L86" s="5">
        <v>45879</v>
      </c>
      <c r="M86" s="2" t="s">
        <v>23</v>
      </c>
      <c r="N86" s="2"/>
      <c r="O86" s="5"/>
      <c r="P86" s="5"/>
      <c r="Q86" s="2" t="s">
        <v>55</v>
      </c>
      <c r="R86" s="2"/>
      <c r="S86" s="27"/>
      <c r="T86" s="8"/>
      <c r="U86" s="8"/>
      <c r="V86" s="9">
        <v>0</v>
      </c>
      <c r="W86" s="10" t="s">
        <v>265</v>
      </c>
      <c r="X86" s="2" t="str">
        <f>TRIM(UPPER(TabelaOrcamento[[#This Row],[STATUS COMERCIAL]]))</f>
        <v>EM ANDAMENTO</v>
      </c>
      <c r="Y86" s="2" t="s">
        <v>337</v>
      </c>
    </row>
    <row r="87" spans="1:537" hidden="1">
      <c r="A87" s="20">
        <f>ROW() - ROW(TabelaOrcamento[[#Headers],[INDEX]])</f>
        <v>81</v>
      </c>
      <c r="B87" s="4">
        <v>45839</v>
      </c>
      <c r="C87" s="2" t="s">
        <v>273</v>
      </c>
      <c r="D87" s="2" t="s">
        <v>276</v>
      </c>
      <c r="E87" s="45" t="s">
        <v>324</v>
      </c>
      <c r="F87" s="2" t="s">
        <v>323</v>
      </c>
      <c r="G87" s="2" t="s">
        <v>332</v>
      </c>
      <c r="H87" s="2" t="s">
        <v>330</v>
      </c>
      <c r="I87" s="5">
        <v>45862</v>
      </c>
      <c r="J87" s="2" t="s">
        <v>30</v>
      </c>
      <c r="K87" s="5">
        <v>45870</v>
      </c>
      <c r="L87" s="5">
        <v>45877</v>
      </c>
      <c r="M87" s="2" t="s">
        <v>23</v>
      </c>
      <c r="N87" s="2" t="s">
        <v>278</v>
      </c>
      <c r="O87" s="5"/>
      <c r="P87" s="5"/>
      <c r="Q87" s="2" t="s">
        <v>41</v>
      </c>
      <c r="R87" s="2" t="s">
        <v>42</v>
      </c>
      <c r="S87" s="27">
        <v>2064172.59</v>
      </c>
      <c r="T87" s="8">
        <v>29708.15</v>
      </c>
      <c r="U87" s="8"/>
      <c r="V87" s="9">
        <v>0</v>
      </c>
      <c r="W87" s="10"/>
      <c r="X87" s="2" t="str">
        <f>TRIM(UPPER(TabelaOrcamento[[#This Row],[STATUS COMERCIAL]]))</f>
        <v>EM ANDAMENTO</v>
      </c>
      <c r="Y87" s="2" t="s">
        <v>337</v>
      </c>
    </row>
    <row r="88" spans="1:537" hidden="1">
      <c r="A88" s="20">
        <f>ROW() - ROW(TabelaOrcamento[[#Headers],[INDEX]])</f>
        <v>82</v>
      </c>
      <c r="B88" s="4">
        <v>45840</v>
      </c>
      <c r="C88" s="2" t="s">
        <v>57</v>
      </c>
      <c r="D88" s="2" t="s">
        <v>280</v>
      </c>
      <c r="E88" s="2"/>
      <c r="F88" s="2" t="s">
        <v>319</v>
      </c>
      <c r="G88" s="2" t="s">
        <v>332</v>
      </c>
      <c r="H88" s="2" t="s">
        <v>330</v>
      </c>
      <c r="I88" s="5">
        <v>45834</v>
      </c>
      <c r="J88" s="2" t="s">
        <v>122</v>
      </c>
      <c r="K88" s="5"/>
      <c r="L88" s="5"/>
      <c r="M88" s="2" t="s">
        <v>23</v>
      </c>
      <c r="N88" s="2" t="s">
        <v>281</v>
      </c>
      <c r="O88" s="5">
        <v>45839</v>
      </c>
      <c r="P88" s="5">
        <v>45839</v>
      </c>
      <c r="Q88" s="2" t="s">
        <v>55</v>
      </c>
      <c r="R88" s="2" t="s">
        <v>42</v>
      </c>
      <c r="S88" s="27">
        <v>395775.8</v>
      </c>
      <c r="T88" s="8">
        <v>7058.02</v>
      </c>
      <c r="U88" s="8">
        <v>391.07</v>
      </c>
      <c r="V88" s="9">
        <v>0</v>
      </c>
      <c r="W88" s="10"/>
      <c r="X88" s="2" t="str">
        <f>TRIM(UPPER(TabelaOrcamento[[#This Row],[STATUS COMERCIAL]]))</f>
        <v>EM ANDAMENTO</v>
      </c>
      <c r="Y88" s="2" t="s">
        <v>337</v>
      </c>
    </row>
    <row r="89" spans="1:537" hidden="1">
      <c r="A89" s="20">
        <f>ROW() - ROW(TabelaOrcamento[[#Headers],[INDEX]])</f>
        <v>83</v>
      </c>
      <c r="B89" s="4">
        <v>45841</v>
      </c>
      <c r="C89" s="2" t="s">
        <v>129</v>
      </c>
      <c r="D89" s="2" t="s">
        <v>326</v>
      </c>
      <c r="E89" s="2"/>
      <c r="F89" s="2"/>
      <c r="G89" s="2"/>
      <c r="H89" s="2" t="s">
        <v>65</v>
      </c>
      <c r="I89" s="5">
        <v>45845</v>
      </c>
      <c r="J89" s="2" t="s">
        <v>122</v>
      </c>
      <c r="K89" s="5"/>
      <c r="L89" s="5"/>
      <c r="M89" s="2" t="s">
        <v>23</v>
      </c>
      <c r="N89" s="2" t="s">
        <v>282</v>
      </c>
      <c r="O89" s="5">
        <v>46576</v>
      </c>
      <c r="P89" s="5">
        <v>46576</v>
      </c>
      <c r="Q89" s="2" t="s">
        <v>55</v>
      </c>
      <c r="R89" s="2" t="s">
        <v>42</v>
      </c>
      <c r="S89" s="27">
        <v>1489450.72</v>
      </c>
      <c r="T89" s="8">
        <v>23159.51</v>
      </c>
      <c r="U89" s="8">
        <v>3411.61</v>
      </c>
      <c r="V89" s="9">
        <v>0</v>
      </c>
      <c r="W89" s="10"/>
      <c r="X89" s="2" t="str">
        <f>TRIM(UPPER(TabelaOrcamento[[#This Row],[STATUS COMERCIAL]]))</f>
        <v>CANCELADO</v>
      </c>
      <c r="Y89" s="2" t="s">
        <v>337</v>
      </c>
    </row>
    <row r="90" spans="1:537" hidden="1">
      <c r="A90" s="20">
        <f>ROW() - ROW(TabelaOrcamento[[#Headers],[INDEX]])</f>
        <v>84</v>
      </c>
      <c r="B90" s="4">
        <v>45842</v>
      </c>
      <c r="C90" s="2" t="s">
        <v>248</v>
      </c>
      <c r="D90" s="2" t="s">
        <v>283</v>
      </c>
      <c r="E90" s="45" t="s">
        <v>317</v>
      </c>
      <c r="F90" s="2"/>
      <c r="G90" s="2" t="s">
        <v>332</v>
      </c>
      <c r="H90" s="2" t="s">
        <v>330</v>
      </c>
      <c r="I90" s="5">
        <v>45849</v>
      </c>
      <c r="J90" s="2" t="s">
        <v>30</v>
      </c>
      <c r="K90" s="5">
        <v>45849</v>
      </c>
      <c r="L90" s="5"/>
      <c r="M90" s="2" t="s">
        <v>23</v>
      </c>
      <c r="N90" s="2" t="s">
        <v>260</v>
      </c>
      <c r="O90" s="5">
        <v>45852</v>
      </c>
      <c r="P90" s="5">
        <v>45852</v>
      </c>
      <c r="Q90" s="2" t="s">
        <v>55</v>
      </c>
      <c r="R90" s="2" t="s">
        <v>42</v>
      </c>
      <c r="S90" s="27">
        <v>950922.84</v>
      </c>
      <c r="T90" s="8">
        <v>15074.942999999999</v>
      </c>
      <c r="U90" s="8">
        <v>1655.09</v>
      </c>
      <c r="V90" s="9">
        <v>0</v>
      </c>
      <c r="W90" s="10" t="s">
        <v>172</v>
      </c>
      <c r="X90" s="2" t="str">
        <f>TRIM(UPPER(TabelaOrcamento[[#This Row],[STATUS COMERCIAL]]))</f>
        <v>EM ANDAMENTO</v>
      </c>
      <c r="Y90" s="2" t="s">
        <v>337</v>
      </c>
    </row>
    <row r="91" spans="1:537" hidden="1">
      <c r="A91" s="20">
        <f>ROW() - ROW(TabelaOrcamento[[#Headers],[INDEX]])</f>
        <v>85</v>
      </c>
      <c r="B91" s="54">
        <v>45843</v>
      </c>
      <c r="C91" s="49" t="s">
        <v>57</v>
      </c>
      <c r="D91" s="49" t="s">
        <v>191</v>
      </c>
      <c r="E91" s="49"/>
      <c r="F91" s="49"/>
      <c r="G91" s="49" t="s">
        <v>359</v>
      </c>
      <c r="H91" s="49" t="s">
        <v>330</v>
      </c>
      <c r="I91" s="50">
        <v>45835</v>
      </c>
      <c r="J91" s="49" t="s">
        <v>122</v>
      </c>
      <c r="K91" s="50">
        <v>45834</v>
      </c>
      <c r="L91" s="50"/>
      <c r="M91" s="49" t="s">
        <v>23</v>
      </c>
      <c r="N91" s="49" t="s">
        <v>303</v>
      </c>
      <c r="O91" s="50">
        <v>45838</v>
      </c>
      <c r="P91" s="50">
        <v>45838</v>
      </c>
      <c r="Q91" s="49" t="s">
        <v>55</v>
      </c>
      <c r="R91" s="49" t="s">
        <v>42</v>
      </c>
      <c r="S91" s="51">
        <v>3079168.93</v>
      </c>
      <c r="T91" s="52">
        <v>52799.43</v>
      </c>
      <c r="U91" s="52">
        <v>3419.26</v>
      </c>
      <c r="V91" s="55">
        <v>2</v>
      </c>
      <c r="W91" s="53"/>
      <c r="X91" s="2" t="str">
        <f>TRIM(UPPER(TabelaOrcamento[[#This Row],[STATUS COMERCIAL]]))</f>
        <v>EM ANDAMENTO</v>
      </c>
      <c r="Y91" s="2" t="s">
        <v>337</v>
      </c>
    </row>
    <row r="92" spans="1:537" s="1" customFormat="1">
      <c r="A92" s="20">
        <f>ROW() - ROW(TabelaOrcamento[[#Headers],[INDEX]])</f>
        <v>86</v>
      </c>
      <c r="B92" s="4">
        <v>45870</v>
      </c>
      <c r="C92" s="2" t="s">
        <v>339</v>
      </c>
      <c r="D92" s="2" t="s">
        <v>340</v>
      </c>
      <c r="E92" s="2"/>
      <c r="F92" s="2"/>
      <c r="G92" s="2"/>
      <c r="H92" s="2" t="s">
        <v>330</v>
      </c>
      <c r="I92" s="5">
        <v>45882</v>
      </c>
      <c r="J92" s="2" t="s">
        <v>30</v>
      </c>
      <c r="K92" s="5"/>
      <c r="L92" s="5"/>
      <c r="M92" s="2" t="s">
        <v>277</v>
      </c>
      <c r="N92" s="2"/>
      <c r="O92" s="5"/>
      <c r="P92" s="5"/>
      <c r="Q92" s="2"/>
      <c r="R92" s="2"/>
      <c r="S92" s="27"/>
      <c r="T92" s="8"/>
      <c r="U92" s="8"/>
      <c r="V92" s="9"/>
      <c r="W92" s="10"/>
      <c r="X92" s="2" t="str">
        <f>TRIM(UPPER(TabelaOrcamento[[#This Row],[STATUS COMERCIAL]]))</f>
        <v>EM ANDAMENTO</v>
      </c>
      <c r="Y92" s="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</row>
    <row r="93" spans="1:537" s="1" customFormat="1" ht="15.6">
      <c r="A93" s="56">
        <f>ROW() - ROW(TabelaOrcamento[[#Headers],[INDEX]])</f>
        <v>87</v>
      </c>
      <c r="B93" s="54">
        <v>45871</v>
      </c>
      <c r="C93" s="2" t="s">
        <v>341</v>
      </c>
      <c r="D93" s="2" t="s">
        <v>345</v>
      </c>
      <c r="E93" s="2"/>
      <c r="F93" s="2"/>
      <c r="G93" s="2"/>
      <c r="H93" s="2" t="s">
        <v>330</v>
      </c>
      <c r="I93" s="48">
        <v>45888</v>
      </c>
      <c r="J93" s="2"/>
      <c r="K93" s="5"/>
      <c r="L93" s="5"/>
      <c r="M93" s="2"/>
      <c r="N93" s="2"/>
      <c r="O93" s="5"/>
      <c r="P93" s="5"/>
      <c r="Q93" s="2"/>
      <c r="R93" s="2"/>
      <c r="S93" s="27"/>
      <c r="T93" s="8"/>
      <c r="U93" s="8"/>
      <c r="V93" s="9">
        <v>0</v>
      </c>
      <c r="W93" s="10"/>
      <c r="X93" s="2" t="str">
        <f>TRIM(UPPER(TabelaOrcamento[[#This Row],[STATUS COMERCIAL]]))</f>
        <v>EM ANDAMENTO</v>
      </c>
      <c r="Y93" s="2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</row>
    <row r="94" spans="1:537" s="1" customFormat="1">
      <c r="A94" s="20">
        <f>ROW() - ROW(TabelaOrcamento[[#Headers],[INDEX]])</f>
        <v>88</v>
      </c>
      <c r="B94" s="4">
        <v>45872</v>
      </c>
      <c r="C94" s="40" t="s">
        <v>344</v>
      </c>
      <c r="D94" s="2" t="s">
        <v>346</v>
      </c>
      <c r="E94" s="2"/>
      <c r="F94" s="2"/>
      <c r="G94" s="2" t="s">
        <v>332</v>
      </c>
      <c r="H94" s="49" t="s">
        <v>330</v>
      </c>
      <c r="I94" s="5">
        <v>45897</v>
      </c>
      <c r="J94" s="2" t="s">
        <v>30</v>
      </c>
      <c r="K94" s="5">
        <v>45871</v>
      </c>
      <c r="L94" s="5"/>
      <c r="M94" s="2" t="s">
        <v>23</v>
      </c>
      <c r="N94" s="63" t="s">
        <v>352</v>
      </c>
      <c r="O94" s="5">
        <v>45871</v>
      </c>
      <c r="P94" s="5">
        <v>45871</v>
      </c>
      <c r="Q94" s="2" t="s">
        <v>41</v>
      </c>
      <c r="R94" s="2" t="s">
        <v>36</v>
      </c>
      <c r="S94" s="27"/>
      <c r="T94" s="8">
        <v>223.20599999999999</v>
      </c>
      <c r="U94" s="8">
        <v>20.57</v>
      </c>
      <c r="V94" s="9">
        <v>2</v>
      </c>
      <c r="W94" s="10"/>
      <c r="X94" s="2" t="str">
        <f>TRIM(UPPER(TabelaOrcamento[[#This Row],[STATUS COMERCIAL]]))</f>
        <v>EM ANDAMENTO</v>
      </c>
      <c r="Y94" s="2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</row>
    <row r="95" spans="1:537" s="1" customFormat="1">
      <c r="A95" s="20">
        <f>ROW() - ROW(TabelaOrcamento[[#Headers],[INDEX]])</f>
        <v>89</v>
      </c>
      <c r="B95" s="4">
        <v>45873</v>
      </c>
      <c r="C95" s="40" t="s">
        <v>343</v>
      </c>
      <c r="D95" s="2" t="s">
        <v>347</v>
      </c>
      <c r="E95" s="2"/>
      <c r="F95" s="2"/>
      <c r="G95" s="2"/>
      <c r="H95" s="49" t="s">
        <v>296</v>
      </c>
      <c r="I95" s="5">
        <v>45887</v>
      </c>
      <c r="J95" s="2" t="s">
        <v>353</v>
      </c>
      <c r="K95" s="5">
        <v>45895</v>
      </c>
      <c r="L95" s="5"/>
      <c r="M95" s="2" t="s">
        <v>23</v>
      </c>
      <c r="N95" s="63" t="s">
        <v>354</v>
      </c>
      <c r="O95" s="5">
        <v>45896</v>
      </c>
      <c r="P95" s="5">
        <v>45897</v>
      </c>
      <c r="Q95" s="2" t="s">
        <v>355</v>
      </c>
      <c r="R95" s="2" t="s">
        <v>36</v>
      </c>
      <c r="S95" s="27"/>
      <c r="T95" s="8">
        <v>198.792</v>
      </c>
      <c r="U95" s="8">
        <v>18.95</v>
      </c>
      <c r="V95" s="9">
        <v>0</v>
      </c>
      <c r="W95" s="10"/>
      <c r="X95" s="2" t="str">
        <f>TRIM(UPPER(TabelaOrcamento[[#This Row],[STATUS COMERCIAL]]))</f>
        <v>FECHADO</v>
      </c>
      <c r="Y95" s="2" t="s">
        <v>337</v>
      </c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</row>
    <row r="96" spans="1:537" s="1" customFormat="1">
      <c r="A96" s="20">
        <f>ROW() - ROW(TabelaOrcamento[[#Headers],[INDEX]])</f>
        <v>90</v>
      </c>
      <c r="B96" s="4">
        <v>45874</v>
      </c>
      <c r="C96" s="40" t="s">
        <v>174</v>
      </c>
      <c r="D96" s="2" t="s">
        <v>348</v>
      </c>
      <c r="E96" s="2"/>
      <c r="F96" s="2"/>
      <c r="G96" s="2"/>
      <c r="H96" s="2" t="s">
        <v>296</v>
      </c>
      <c r="I96" s="5">
        <v>45895</v>
      </c>
      <c r="J96" s="2" t="s">
        <v>82</v>
      </c>
      <c r="K96" s="5">
        <v>45895</v>
      </c>
      <c r="L96" s="5"/>
      <c r="M96" s="2" t="s">
        <v>23</v>
      </c>
      <c r="N96" s="63" t="s">
        <v>356</v>
      </c>
      <c r="O96" s="5">
        <v>45895</v>
      </c>
      <c r="P96" s="5">
        <v>45896</v>
      </c>
      <c r="Q96" s="2" t="s">
        <v>41</v>
      </c>
      <c r="R96" s="2" t="s">
        <v>36</v>
      </c>
      <c r="S96" s="27"/>
      <c r="T96" s="8">
        <v>152.71799999999999</v>
      </c>
      <c r="U96" s="8">
        <v>17</v>
      </c>
      <c r="V96" s="9">
        <v>0</v>
      </c>
      <c r="W96" s="10"/>
      <c r="X96" s="2" t="str">
        <f>TRIM(UPPER(TabelaOrcamento[[#This Row],[STATUS COMERCIAL]]))</f>
        <v>FECHADO</v>
      </c>
      <c r="Y96" s="2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</row>
    <row r="97" spans="1:537" s="1" customFormat="1" hidden="1">
      <c r="A97" s="20">
        <f>ROW() - ROW(TabelaOrcamento[[#Headers],[INDEX]])</f>
        <v>91</v>
      </c>
      <c r="B97" s="4">
        <v>45875</v>
      </c>
      <c r="C97" s="40" t="s">
        <v>52</v>
      </c>
      <c r="D97" s="2" t="s">
        <v>349</v>
      </c>
      <c r="E97" s="2"/>
      <c r="F97" s="2"/>
      <c r="G97" s="2" t="s">
        <v>332</v>
      </c>
      <c r="H97" s="49" t="s">
        <v>330</v>
      </c>
      <c r="I97" s="5">
        <v>45884</v>
      </c>
      <c r="J97" s="2" t="s">
        <v>30</v>
      </c>
      <c r="K97" s="5"/>
      <c r="L97" s="5"/>
      <c r="M97" s="2" t="s">
        <v>23</v>
      </c>
      <c r="N97" s="2" t="s">
        <v>363</v>
      </c>
      <c r="O97" s="5"/>
      <c r="P97" s="5"/>
      <c r="Q97" s="2" t="s">
        <v>355</v>
      </c>
      <c r="R97" s="2"/>
      <c r="S97" s="27">
        <v>1543263.09</v>
      </c>
      <c r="T97" s="8">
        <v>14060.66</v>
      </c>
      <c r="U97" s="8"/>
      <c r="V97" s="9">
        <v>0</v>
      </c>
      <c r="W97" s="10"/>
      <c r="X97" s="2" t="str">
        <f>TRIM(UPPER(TabelaOrcamento[[#This Row],[STATUS COMERCIAL]]))</f>
        <v>EM ANDAMENTO</v>
      </c>
      <c r="Y97" s="2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</row>
    <row r="98" spans="1:537" s="1" customFormat="1" ht="15.6">
      <c r="A98" s="20">
        <f>ROW() - ROW(TabelaOrcamento[[#Headers],[INDEX]])</f>
        <v>92</v>
      </c>
      <c r="B98" s="4">
        <v>45876</v>
      </c>
      <c r="C98" s="2" t="s">
        <v>342</v>
      </c>
      <c r="D98" s="2" t="s">
        <v>350</v>
      </c>
      <c r="E98" s="2"/>
      <c r="F98" s="2"/>
      <c r="G98" s="2"/>
      <c r="H98" s="2" t="s">
        <v>65</v>
      </c>
      <c r="I98" s="5">
        <v>45894</v>
      </c>
      <c r="J98" s="2" t="s">
        <v>30</v>
      </c>
      <c r="K98" s="5"/>
      <c r="L98" s="5"/>
      <c r="M98" s="2" t="s">
        <v>23</v>
      </c>
      <c r="N98" s="57" t="s">
        <v>357</v>
      </c>
      <c r="O98" s="5">
        <v>45896</v>
      </c>
      <c r="P98" s="5">
        <v>45897</v>
      </c>
      <c r="Q98" s="2" t="s">
        <v>41</v>
      </c>
      <c r="R98" s="2" t="s">
        <v>42</v>
      </c>
      <c r="S98" s="27"/>
      <c r="T98" s="8">
        <v>260.12400000000002</v>
      </c>
      <c r="U98" s="8">
        <v>27.36</v>
      </c>
      <c r="V98" s="9">
        <v>0</v>
      </c>
      <c r="W98" s="10"/>
      <c r="X98" s="2" t="str">
        <f>TRIM(UPPER(TabelaOrcamento[[#This Row],[STATUS COMERCIAL]]))</f>
        <v>CANCELADO</v>
      </c>
      <c r="Y98" s="2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</row>
    <row r="99" spans="1:537" s="1" customFormat="1" ht="15.6">
      <c r="A99" s="20">
        <f>ROW() - ROW(TabelaOrcamento[[#Headers],[INDEX]])</f>
        <v>93</v>
      </c>
      <c r="B99" s="4">
        <v>45877</v>
      </c>
      <c r="C99" s="2" t="s">
        <v>342</v>
      </c>
      <c r="D99" s="2" t="s">
        <v>351</v>
      </c>
      <c r="E99" s="2"/>
      <c r="F99" s="2"/>
      <c r="G99" s="2"/>
      <c r="H99" s="49" t="s">
        <v>65</v>
      </c>
      <c r="I99" s="5">
        <v>45895</v>
      </c>
      <c r="J99" s="2" t="s">
        <v>30</v>
      </c>
      <c r="K99" s="5">
        <v>45870</v>
      </c>
      <c r="L99" s="5"/>
      <c r="M99" s="2" t="s">
        <v>23</v>
      </c>
      <c r="N99" s="58" t="s">
        <v>358</v>
      </c>
      <c r="O99" s="5">
        <v>45871</v>
      </c>
      <c r="P99" s="5">
        <v>45871</v>
      </c>
      <c r="Q99" s="2" t="s">
        <v>41</v>
      </c>
      <c r="R99" s="2" t="s">
        <v>36</v>
      </c>
      <c r="S99" s="27"/>
      <c r="T99" s="8">
        <v>253.506</v>
      </c>
      <c r="U99" s="8">
        <v>27.36</v>
      </c>
      <c r="V99" s="9">
        <v>0</v>
      </c>
      <c r="W99" s="10"/>
      <c r="X99" s="2" t="str">
        <f>TRIM(UPPER(TabelaOrcamento[[#This Row],[STATUS COMERCIAL]]))</f>
        <v>CANCELADO</v>
      </c>
      <c r="Y99" s="2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</row>
    <row r="100" spans="1:537">
      <c r="A100" s="20">
        <f>ROW() - ROW(TabelaOrcamento[[#Headers],[INDEX]])</f>
        <v>94</v>
      </c>
      <c r="B100" s="4">
        <v>45870</v>
      </c>
      <c r="C100" s="49" t="s">
        <v>342</v>
      </c>
      <c r="D100" s="49" t="s">
        <v>361</v>
      </c>
      <c r="E100" s="49"/>
      <c r="F100" s="49"/>
      <c r="G100" s="49"/>
      <c r="H100" s="49" t="s">
        <v>65</v>
      </c>
      <c r="I100" s="50">
        <v>45908</v>
      </c>
      <c r="J100" s="49" t="s">
        <v>30</v>
      </c>
      <c r="K100" s="50"/>
      <c r="L100" s="50"/>
      <c r="M100" s="49" t="s">
        <v>277</v>
      </c>
      <c r="N100" s="49"/>
      <c r="O100" s="50"/>
      <c r="P100" s="50"/>
      <c r="Q100" s="49"/>
      <c r="R100" s="49"/>
      <c r="S100" s="51"/>
      <c r="T100" s="52"/>
      <c r="U100" s="52"/>
      <c r="V100" s="55"/>
      <c r="W100" s="53"/>
      <c r="X100" s="49" t="str">
        <f>TRIM(UPPER(TabelaOrcamento[[#This Row],[STATUS COMERCIAL]]))</f>
        <v>CANCELADO</v>
      </c>
      <c r="Y100" s="49"/>
    </row>
    <row r="101" spans="1:537">
      <c r="A101" s="20">
        <f>ROW() - ROW(TabelaOrcamento[[#Headers],[INDEX]])</f>
        <v>95</v>
      </c>
      <c r="B101" s="4">
        <v>45870</v>
      </c>
      <c r="C101" s="49" t="s">
        <v>344</v>
      </c>
      <c r="D101" s="49" t="s">
        <v>362</v>
      </c>
      <c r="E101" s="49"/>
      <c r="F101" s="49"/>
      <c r="G101" s="49"/>
      <c r="H101" s="49" t="s">
        <v>65</v>
      </c>
      <c r="I101" s="50">
        <v>45909</v>
      </c>
      <c r="J101" s="49" t="s">
        <v>30</v>
      </c>
      <c r="K101" s="50"/>
      <c r="L101" s="50"/>
      <c r="M101" s="49" t="s">
        <v>277</v>
      </c>
      <c r="N101" s="49"/>
      <c r="O101" s="50"/>
      <c r="P101" s="50"/>
      <c r="Q101" s="49"/>
      <c r="R101" s="49"/>
      <c r="S101" s="51"/>
      <c r="T101" s="52"/>
      <c r="U101" s="52"/>
      <c r="V101" s="55"/>
      <c r="W101" s="53"/>
      <c r="X101" s="49" t="str">
        <f>TRIM(UPPER(TabelaOrcamento[[#This Row],[STATUS COMERCIAL]]))</f>
        <v>CANCELADO</v>
      </c>
      <c r="Y101" s="49"/>
    </row>
  </sheetData>
  <dataConsolidate link="1"/>
  <mergeCells count="1">
    <mergeCell ref="A1:W1"/>
  </mergeCells>
  <hyperlinks>
    <hyperlink ref="E14" r:id="rId1" xr:uid="{1D18D41E-E960-4BE3-B3BC-CA3B6A7D71A4}"/>
    <hyperlink ref="E50" r:id="rId2" xr:uid="{E0E2A49E-E637-446C-A123-8D072F636C6D}"/>
    <hyperlink ref="E48" r:id="rId3" xr:uid="{D7FB7CF1-50D1-4245-83E4-DAD5D0B3A89D}"/>
    <hyperlink ref="E11" r:id="rId4" xr:uid="{8F9591CF-2FF0-48A1-860A-1B980CFE2CDB}"/>
    <hyperlink ref="E75" r:id="rId5" xr:uid="{BE4BCC81-EF30-4DA9-B969-47DFA92AF9E7}"/>
    <hyperlink ref="E79" r:id="rId6" xr:uid="{032B0F14-E4F9-4B96-A4DB-C7A847D5C793}"/>
    <hyperlink ref="E90" r:id="rId7" xr:uid="{72897B4E-70E5-4E0A-81DF-243828DF22E4}"/>
    <hyperlink ref="E74" r:id="rId8" xr:uid="{C5DBE5F6-0849-4C0F-8290-7283EABF0770}"/>
    <hyperlink ref="E80" r:id="rId9" xr:uid="{0038B88F-39B7-410D-89A7-DDAFD5A3558C}"/>
    <hyperlink ref="E83" r:id="rId10" xr:uid="{1221E97D-D9BE-4498-9052-7E203EA3A3ED}"/>
    <hyperlink ref="E81" r:id="rId11" xr:uid="{1F09136F-53A9-4F42-90C4-9DFED7580B88}"/>
    <hyperlink ref="E85" r:id="rId12" xr:uid="{7F759203-A642-4821-B4F4-BCDE38755AD3}"/>
    <hyperlink ref="E87" r:id="rId13" xr:uid="{54471155-3DFD-4F81-9ED9-792C92AFD990}"/>
  </hyperlinks>
  <pageMargins left="0.75" right="0.75" top="1" bottom="1" header="0.5" footer="0.5"/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889795-650C-4092-92CA-753344FE0B06}">
          <x14:formula1>
            <xm:f>'Menu Suspenso'!$F$2:$F$6</xm:f>
          </x14:formula1>
          <xm:sqref>M1 M7:M1048576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14221-0EE9-4F66-9A96-23FDA40931D1}">
  <dimension ref="A1:X51"/>
  <sheetViews>
    <sheetView tabSelected="1" workbookViewId="0">
      <selection activeCell="M5" sqref="M5"/>
    </sheetView>
  </sheetViews>
  <sheetFormatPr defaultRowHeight="14.4"/>
  <cols>
    <col min="1" max="1" width="11.6640625" bestFit="1" customWidth="1"/>
    <col min="2" max="2" width="29.6640625" bestFit="1" customWidth="1"/>
    <col min="3" max="3" width="35.21875" bestFit="1" customWidth="1"/>
    <col min="4" max="9" width="0" hidden="1" customWidth="1"/>
    <col min="10" max="10" width="10.5546875" hidden="1" customWidth="1"/>
    <col min="11" max="11" width="21.77734375" hidden="1" customWidth="1"/>
    <col min="12" max="12" width="34.109375" hidden="1" customWidth="1"/>
    <col min="13" max="13" width="19.44140625" bestFit="1" customWidth="1"/>
    <col min="14" max="14" width="26.88671875" bestFit="1" customWidth="1"/>
    <col min="15" max="15" width="23" bestFit="1" customWidth="1"/>
  </cols>
  <sheetData>
    <row r="1" spans="1:24">
      <c r="A1" s="64" t="s">
        <v>4</v>
      </c>
      <c r="B1" s="65" t="s">
        <v>5</v>
      </c>
      <c r="C1" s="65" t="s">
        <v>6</v>
      </c>
      <c r="D1" s="65" t="s">
        <v>284</v>
      </c>
      <c r="E1" s="65" t="s">
        <v>285</v>
      </c>
      <c r="F1" s="65" t="s">
        <v>286</v>
      </c>
      <c r="G1" s="65" t="s">
        <v>287</v>
      </c>
      <c r="H1" s="66" t="s">
        <v>7</v>
      </c>
      <c r="I1" s="65" t="s">
        <v>8</v>
      </c>
      <c r="J1" s="65" t="s">
        <v>9</v>
      </c>
      <c r="K1" s="66" t="s">
        <v>10</v>
      </c>
      <c r="L1" s="65" t="s">
        <v>300</v>
      </c>
      <c r="M1" s="65" t="s">
        <v>11</v>
      </c>
      <c r="N1" s="66" t="s">
        <v>12</v>
      </c>
      <c r="O1" s="67" t="s">
        <v>13</v>
      </c>
      <c r="P1" s="68" t="s">
        <v>14</v>
      </c>
      <c r="Q1" s="65" t="s">
        <v>15</v>
      </c>
      <c r="R1" s="69" t="s">
        <v>294</v>
      </c>
      <c r="S1" s="70" t="s">
        <v>16</v>
      </c>
      <c r="T1" s="70" t="s">
        <v>17</v>
      </c>
      <c r="U1" s="71" t="s">
        <v>18</v>
      </c>
      <c r="V1" s="72" t="s">
        <v>19</v>
      </c>
      <c r="W1" s="73" t="s">
        <v>334</v>
      </c>
      <c r="X1" s="73" t="s">
        <v>335</v>
      </c>
    </row>
    <row r="2" spans="1:24">
      <c r="A2" s="74">
        <v>45658</v>
      </c>
      <c r="B2" s="75" t="s">
        <v>38</v>
      </c>
      <c r="C2" s="75" t="s">
        <v>39</v>
      </c>
      <c r="D2" s="75"/>
      <c r="E2" s="75"/>
      <c r="F2" s="75"/>
      <c r="G2" s="75" t="s">
        <v>65</v>
      </c>
      <c r="H2" s="76">
        <v>45671</v>
      </c>
      <c r="I2" s="75" t="s">
        <v>30</v>
      </c>
      <c r="J2" s="76">
        <v>45678</v>
      </c>
      <c r="K2" s="76">
        <v>45684</v>
      </c>
      <c r="L2" s="75" t="s">
        <v>23</v>
      </c>
      <c r="M2" s="75" t="s">
        <v>40</v>
      </c>
      <c r="N2" s="76">
        <v>45684</v>
      </c>
      <c r="O2" s="77">
        <v>45685</v>
      </c>
      <c r="P2" s="78" t="s">
        <v>41</v>
      </c>
      <c r="Q2" s="75" t="s">
        <v>42</v>
      </c>
      <c r="R2" s="79"/>
      <c r="S2" s="80">
        <v>7429.26</v>
      </c>
      <c r="T2" s="80">
        <v>573.44000000000005</v>
      </c>
      <c r="U2" s="81">
        <v>0</v>
      </c>
      <c r="V2" s="82" t="s">
        <v>43</v>
      </c>
      <c r="W2" s="75" t="s">
        <v>65</v>
      </c>
      <c r="X2" s="75"/>
    </row>
    <row r="3" spans="1:24">
      <c r="A3" s="83">
        <v>45658</v>
      </c>
      <c r="B3" s="84" t="s">
        <v>28</v>
      </c>
      <c r="C3" s="84" t="s">
        <v>29</v>
      </c>
      <c r="D3" s="84"/>
      <c r="E3" s="84"/>
      <c r="F3" s="84" t="s">
        <v>331</v>
      </c>
      <c r="G3" s="84" t="s">
        <v>65</v>
      </c>
      <c r="H3" s="85">
        <v>45663</v>
      </c>
      <c r="I3" s="84" t="s">
        <v>30</v>
      </c>
      <c r="J3" s="85">
        <v>45663</v>
      </c>
      <c r="K3" s="85">
        <v>45664</v>
      </c>
      <c r="L3" s="84" t="s">
        <v>23</v>
      </c>
      <c r="M3" s="84" t="s">
        <v>31</v>
      </c>
      <c r="N3" s="85">
        <v>45664</v>
      </c>
      <c r="O3" s="86">
        <v>45664</v>
      </c>
      <c r="P3" s="87" t="s">
        <v>25</v>
      </c>
      <c r="Q3" s="84" t="s">
        <v>26</v>
      </c>
      <c r="R3" s="88"/>
      <c r="S3" s="89">
        <v>9111.4560000000001</v>
      </c>
      <c r="T3" s="89">
        <v>632.02</v>
      </c>
      <c r="U3" s="90">
        <v>0</v>
      </c>
      <c r="V3" s="91" t="s">
        <v>32</v>
      </c>
      <c r="W3" s="84" t="s">
        <v>65</v>
      </c>
      <c r="X3" s="84" t="s">
        <v>337</v>
      </c>
    </row>
    <row r="4" spans="1:24">
      <c r="A4" s="74">
        <v>45658</v>
      </c>
      <c r="B4" s="75" t="s">
        <v>61</v>
      </c>
      <c r="C4" s="75" t="s">
        <v>62</v>
      </c>
      <c r="D4" s="75"/>
      <c r="E4" s="75"/>
      <c r="F4" s="75"/>
      <c r="G4" s="75" t="s">
        <v>65</v>
      </c>
      <c r="H4" s="76">
        <v>45681</v>
      </c>
      <c r="I4" s="75" t="s">
        <v>30</v>
      </c>
      <c r="J4" s="76">
        <v>45684</v>
      </c>
      <c r="K4" s="76">
        <v>45694</v>
      </c>
      <c r="L4" s="75" t="s">
        <v>23</v>
      </c>
      <c r="M4" s="75" t="s">
        <v>63</v>
      </c>
      <c r="N4" s="76">
        <v>45700</v>
      </c>
      <c r="O4" s="76">
        <v>45700</v>
      </c>
      <c r="P4" s="75" t="s">
        <v>55</v>
      </c>
      <c r="Q4" s="75" t="s">
        <v>42</v>
      </c>
      <c r="R4" s="79"/>
      <c r="S4" s="80">
        <v>49027.883999999998</v>
      </c>
      <c r="T4" s="80">
        <v>5573.89</v>
      </c>
      <c r="U4" s="81">
        <v>0</v>
      </c>
      <c r="V4" s="82" t="s">
        <v>64</v>
      </c>
      <c r="W4" s="75" t="s">
        <v>65</v>
      </c>
      <c r="X4" s="75" t="s">
        <v>336</v>
      </c>
    </row>
    <row r="5" spans="1:24">
      <c r="A5" s="83">
        <v>45689</v>
      </c>
      <c r="B5" s="84" t="s">
        <v>109</v>
      </c>
      <c r="C5" s="84" t="s">
        <v>110</v>
      </c>
      <c r="D5" s="84"/>
      <c r="E5" s="84"/>
      <c r="F5" s="84"/>
      <c r="G5" s="84" t="s">
        <v>65</v>
      </c>
      <c r="H5" s="85">
        <v>45705</v>
      </c>
      <c r="I5" s="84" t="s">
        <v>30</v>
      </c>
      <c r="J5" s="85">
        <v>45705</v>
      </c>
      <c r="K5" s="85">
        <v>45717</v>
      </c>
      <c r="L5" s="84" t="s">
        <v>65</v>
      </c>
      <c r="M5" s="84" t="s">
        <v>111</v>
      </c>
      <c r="N5" s="85"/>
      <c r="O5" s="85"/>
      <c r="P5" s="84" t="s">
        <v>41</v>
      </c>
      <c r="Q5" s="84" t="s">
        <v>42</v>
      </c>
      <c r="R5" s="88"/>
      <c r="S5" s="89"/>
      <c r="T5" s="89"/>
      <c r="U5" s="90">
        <v>1</v>
      </c>
      <c r="V5" s="91" t="s">
        <v>112</v>
      </c>
      <c r="W5" s="84" t="s">
        <v>65</v>
      </c>
      <c r="X5" s="84" t="s">
        <v>337</v>
      </c>
    </row>
    <row r="6" spans="1:24">
      <c r="A6" s="74">
        <v>45689</v>
      </c>
      <c r="B6" s="75" t="s">
        <v>113</v>
      </c>
      <c r="C6" s="75" t="s">
        <v>114</v>
      </c>
      <c r="D6" s="75"/>
      <c r="E6" s="75"/>
      <c r="F6" s="75"/>
      <c r="G6" s="75" t="s">
        <v>65</v>
      </c>
      <c r="H6" s="76">
        <v>45708</v>
      </c>
      <c r="I6" s="75" t="s">
        <v>30</v>
      </c>
      <c r="J6" s="76">
        <v>45756</v>
      </c>
      <c r="K6" s="76"/>
      <c r="L6" s="75" t="s">
        <v>65</v>
      </c>
      <c r="M6" s="75" t="s">
        <v>115</v>
      </c>
      <c r="N6" s="76"/>
      <c r="O6" s="76"/>
      <c r="P6" s="75" t="s">
        <v>41</v>
      </c>
      <c r="Q6" s="75" t="s">
        <v>42</v>
      </c>
      <c r="R6" s="79"/>
      <c r="S6" s="80"/>
      <c r="T6" s="80"/>
      <c r="U6" s="81">
        <v>0</v>
      </c>
      <c r="V6" s="82"/>
      <c r="W6" s="75" t="s">
        <v>65</v>
      </c>
      <c r="X6" s="75" t="s">
        <v>337</v>
      </c>
    </row>
    <row r="7" spans="1:24">
      <c r="A7" s="83">
        <v>45689</v>
      </c>
      <c r="B7" s="84" t="s">
        <v>116</v>
      </c>
      <c r="C7" s="84" t="s">
        <v>117</v>
      </c>
      <c r="D7" s="84"/>
      <c r="E7" s="84"/>
      <c r="F7" s="84"/>
      <c r="G7" s="84" t="s">
        <v>65</v>
      </c>
      <c r="H7" s="85">
        <v>45708</v>
      </c>
      <c r="I7" s="84" t="s">
        <v>118</v>
      </c>
      <c r="J7" s="85">
        <v>45722</v>
      </c>
      <c r="K7" s="85">
        <v>45728</v>
      </c>
      <c r="L7" s="84" t="s">
        <v>23</v>
      </c>
      <c r="M7" s="84" t="s">
        <v>119</v>
      </c>
      <c r="N7" s="85">
        <v>45734</v>
      </c>
      <c r="O7" s="85">
        <v>45734</v>
      </c>
      <c r="P7" s="84" t="s">
        <v>25</v>
      </c>
      <c r="Q7" s="84" t="s">
        <v>42</v>
      </c>
      <c r="R7" s="88"/>
      <c r="S7" s="89">
        <v>77788.62</v>
      </c>
      <c r="T7" s="89">
        <v>5335.74</v>
      </c>
      <c r="U7" s="90">
        <v>0</v>
      </c>
      <c r="V7" s="91"/>
      <c r="W7" s="84" t="s">
        <v>65</v>
      </c>
      <c r="X7" s="84" t="s">
        <v>337</v>
      </c>
    </row>
    <row r="8" spans="1:24">
      <c r="A8" s="74">
        <v>45689</v>
      </c>
      <c r="B8" s="75" t="s">
        <v>93</v>
      </c>
      <c r="C8" s="75" t="s">
        <v>94</v>
      </c>
      <c r="D8" s="75"/>
      <c r="E8" s="75"/>
      <c r="F8" s="75"/>
      <c r="G8" s="75" t="s">
        <v>65</v>
      </c>
      <c r="H8" s="76">
        <v>45698</v>
      </c>
      <c r="I8" s="75" t="s">
        <v>30</v>
      </c>
      <c r="J8" s="76"/>
      <c r="K8" s="76">
        <v>45713</v>
      </c>
      <c r="L8" s="75" t="s">
        <v>65</v>
      </c>
      <c r="M8" s="75"/>
      <c r="N8" s="76"/>
      <c r="O8" s="76"/>
      <c r="P8" s="75"/>
      <c r="Q8" s="75"/>
      <c r="R8" s="79"/>
      <c r="S8" s="80"/>
      <c r="T8" s="80"/>
      <c r="U8" s="81">
        <v>0</v>
      </c>
      <c r="V8" s="82" t="s">
        <v>95</v>
      </c>
      <c r="W8" s="75" t="s">
        <v>65</v>
      </c>
      <c r="X8" s="75" t="s">
        <v>337</v>
      </c>
    </row>
    <row r="9" spans="1:24">
      <c r="A9" s="83">
        <v>45689</v>
      </c>
      <c r="B9" s="84" t="s">
        <v>120</v>
      </c>
      <c r="C9" s="84" t="s">
        <v>121</v>
      </c>
      <c r="D9" s="84"/>
      <c r="E9" s="84"/>
      <c r="F9" s="84"/>
      <c r="G9" s="84" t="s">
        <v>65</v>
      </c>
      <c r="H9" s="85">
        <v>45716</v>
      </c>
      <c r="I9" s="84" t="s">
        <v>122</v>
      </c>
      <c r="J9" s="85">
        <v>45723</v>
      </c>
      <c r="K9" s="85">
        <v>45723</v>
      </c>
      <c r="L9" s="84" t="s">
        <v>23</v>
      </c>
      <c r="M9" s="84" t="s">
        <v>123</v>
      </c>
      <c r="N9" s="85">
        <v>45723</v>
      </c>
      <c r="O9" s="85">
        <v>45723</v>
      </c>
      <c r="P9" s="84" t="s">
        <v>25</v>
      </c>
      <c r="Q9" s="84" t="s">
        <v>26</v>
      </c>
      <c r="R9" s="88"/>
      <c r="S9" s="89">
        <v>7127.6040000000003</v>
      </c>
      <c r="T9" s="89">
        <v>401.95</v>
      </c>
      <c r="U9" s="90">
        <v>0</v>
      </c>
      <c r="V9" s="91"/>
      <c r="W9" s="84" t="s">
        <v>65</v>
      </c>
      <c r="X9" s="84" t="s">
        <v>337</v>
      </c>
    </row>
    <row r="10" spans="1:24">
      <c r="A10" s="74">
        <v>45689</v>
      </c>
      <c r="B10" s="75" t="s">
        <v>74</v>
      </c>
      <c r="C10" s="75" t="s">
        <v>96</v>
      </c>
      <c r="D10" s="75"/>
      <c r="E10" s="75"/>
      <c r="F10" s="75"/>
      <c r="G10" s="75" t="s">
        <v>65</v>
      </c>
      <c r="H10" s="76">
        <v>45698</v>
      </c>
      <c r="I10" s="75" t="s">
        <v>30</v>
      </c>
      <c r="J10" s="76"/>
      <c r="K10" s="76">
        <v>45708</v>
      </c>
      <c r="L10" s="75" t="s">
        <v>65</v>
      </c>
      <c r="M10" s="75"/>
      <c r="N10" s="76"/>
      <c r="O10" s="76"/>
      <c r="P10" s="75"/>
      <c r="Q10" s="75"/>
      <c r="R10" s="79"/>
      <c r="S10" s="80"/>
      <c r="T10" s="80"/>
      <c r="U10" s="81">
        <v>0</v>
      </c>
      <c r="V10" s="82" t="s">
        <v>97</v>
      </c>
      <c r="W10" s="75" t="s">
        <v>65</v>
      </c>
      <c r="X10" s="75" t="s">
        <v>338</v>
      </c>
    </row>
    <row r="11" spans="1:24">
      <c r="A11" s="83">
        <v>45689</v>
      </c>
      <c r="B11" s="84" t="s">
        <v>101</v>
      </c>
      <c r="C11" s="84" t="s">
        <v>102</v>
      </c>
      <c r="D11" s="84"/>
      <c r="E11" s="84"/>
      <c r="F11" s="84"/>
      <c r="G11" s="84" t="s">
        <v>65</v>
      </c>
      <c r="H11" s="85">
        <v>45701</v>
      </c>
      <c r="I11" s="84" t="s">
        <v>30</v>
      </c>
      <c r="J11" s="85" t="s">
        <v>103</v>
      </c>
      <c r="K11" s="85">
        <v>45713</v>
      </c>
      <c r="L11" s="84" t="s">
        <v>23</v>
      </c>
      <c r="M11" s="84" t="s">
        <v>104</v>
      </c>
      <c r="N11" s="85">
        <v>45729</v>
      </c>
      <c r="O11" s="85">
        <v>45729</v>
      </c>
      <c r="P11" s="84" t="s">
        <v>25</v>
      </c>
      <c r="Q11" s="84" t="s">
        <v>36</v>
      </c>
      <c r="R11" s="88"/>
      <c r="S11" s="89">
        <v>14224.983</v>
      </c>
      <c r="T11" s="89">
        <v>1608.05</v>
      </c>
      <c r="U11" s="90">
        <v>0</v>
      </c>
      <c r="V11" s="91" t="s">
        <v>105</v>
      </c>
      <c r="W11" s="84" t="s">
        <v>65</v>
      </c>
      <c r="X11" s="84" t="s">
        <v>337</v>
      </c>
    </row>
    <row r="12" spans="1:24">
      <c r="A12" s="74">
        <v>45689</v>
      </c>
      <c r="B12" s="75" t="s">
        <v>106</v>
      </c>
      <c r="C12" s="75" t="s">
        <v>106</v>
      </c>
      <c r="D12" s="75"/>
      <c r="E12" s="75"/>
      <c r="F12" s="75"/>
      <c r="G12" s="75" t="s">
        <v>65</v>
      </c>
      <c r="H12" s="76">
        <v>45702</v>
      </c>
      <c r="I12" s="75" t="s">
        <v>30</v>
      </c>
      <c r="J12" s="76"/>
      <c r="K12" s="76">
        <v>45714</v>
      </c>
      <c r="L12" s="75" t="s">
        <v>23</v>
      </c>
      <c r="M12" s="75" t="s">
        <v>107</v>
      </c>
      <c r="N12" s="76">
        <v>45733</v>
      </c>
      <c r="O12" s="76">
        <v>45733</v>
      </c>
      <c r="P12" s="75" t="s">
        <v>55</v>
      </c>
      <c r="Q12" s="75" t="s">
        <v>42</v>
      </c>
      <c r="R12" s="79"/>
      <c r="S12" s="80">
        <v>13217.754000000001</v>
      </c>
      <c r="T12" s="80">
        <v>1393.23</v>
      </c>
      <c r="U12" s="81">
        <v>0</v>
      </c>
      <c r="V12" s="82" t="s">
        <v>108</v>
      </c>
      <c r="W12" s="75" t="s">
        <v>65</v>
      </c>
      <c r="X12" s="75" t="s">
        <v>336</v>
      </c>
    </row>
    <row r="13" spans="1:24">
      <c r="A13" s="83">
        <v>45689</v>
      </c>
      <c r="B13" s="84" t="s">
        <v>83</v>
      </c>
      <c r="C13" s="84" t="s">
        <v>84</v>
      </c>
      <c r="D13" s="84"/>
      <c r="E13" s="84"/>
      <c r="F13" s="84"/>
      <c r="G13" s="84" t="s">
        <v>65</v>
      </c>
      <c r="H13" s="85">
        <v>45695</v>
      </c>
      <c r="I13" s="84" t="s">
        <v>22</v>
      </c>
      <c r="J13" s="85"/>
      <c r="K13" s="85">
        <v>45706</v>
      </c>
      <c r="L13" s="84" t="s">
        <v>65</v>
      </c>
      <c r="M13" s="84"/>
      <c r="N13" s="85"/>
      <c r="O13" s="85"/>
      <c r="P13" s="84"/>
      <c r="Q13" s="84"/>
      <c r="R13" s="88"/>
      <c r="S13" s="89"/>
      <c r="T13" s="89"/>
      <c r="U13" s="90">
        <v>0</v>
      </c>
      <c r="V13" s="91" t="s">
        <v>85</v>
      </c>
      <c r="W13" s="84" t="s">
        <v>65</v>
      </c>
      <c r="X13" s="84" t="s">
        <v>338</v>
      </c>
    </row>
    <row r="14" spans="1:24">
      <c r="A14" s="74">
        <v>45717</v>
      </c>
      <c r="B14" s="75" t="s">
        <v>130</v>
      </c>
      <c r="C14" s="75" t="s">
        <v>131</v>
      </c>
      <c r="D14" s="75"/>
      <c r="E14" s="75"/>
      <c r="F14" s="75"/>
      <c r="G14" s="75" t="s">
        <v>65</v>
      </c>
      <c r="H14" s="76">
        <v>45728</v>
      </c>
      <c r="I14" s="75" t="s">
        <v>82</v>
      </c>
      <c r="J14" s="76">
        <v>45828</v>
      </c>
      <c r="K14" s="76"/>
      <c r="L14" s="75" t="s">
        <v>23</v>
      </c>
      <c r="M14" s="75" t="s">
        <v>132</v>
      </c>
      <c r="N14" s="76">
        <v>45828</v>
      </c>
      <c r="O14" s="76"/>
      <c r="P14" s="75" t="s">
        <v>55</v>
      </c>
      <c r="Q14" s="75" t="s">
        <v>42</v>
      </c>
      <c r="R14" s="79"/>
      <c r="S14" s="80">
        <v>1007.13</v>
      </c>
      <c r="T14" s="80">
        <v>77.38</v>
      </c>
      <c r="U14" s="81">
        <v>0</v>
      </c>
      <c r="V14" s="82"/>
      <c r="W14" s="75" t="s">
        <v>65</v>
      </c>
      <c r="X14" s="75" t="s">
        <v>336</v>
      </c>
    </row>
    <row r="15" spans="1:24">
      <c r="A15" s="83">
        <v>45717</v>
      </c>
      <c r="B15" s="84" t="s">
        <v>126</v>
      </c>
      <c r="C15" s="84" t="s">
        <v>127</v>
      </c>
      <c r="D15" s="84"/>
      <c r="E15" s="84"/>
      <c r="F15" s="84"/>
      <c r="G15" s="84" t="s">
        <v>65</v>
      </c>
      <c r="H15" s="85">
        <v>45723</v>
      </c>
      <c r="I15" s="84" t="s">
        <v>22</v>
      </c>
      <c r="J15" s="85"/>
      <c r="K15" s="85">
        <v>45738</v>
      </c>
      <c r="L15" s="84" t="s">
        <v>65</v>
      </c>
      <c r="M15" s="84"/>
      <c r="N15" s="85"/>
      <c r="O15" s="85"/>
      <c r="P15" s="84"/>
      <c r="Q15" s="84"/>
      <c r="R15" s="88"/>
      <c r="S15" s="89"/>
      <c r="T15" s="89"/>
      <c r="U15" s="90">
        <v>0</v>
      </c>
      <c r="V15" s="91"/>
      <c r="W15" s="84" t="s">
        <v>65</v>
      </c>
      <c r="X15" s="84"/>
    </row>
    <row r="16" spans="1:24">
      <c r="A16" s="74">
        <v>45717</v>
      </c>
      <c r="B16" s="75" t="s">
        <v>128</v>
      </c>
      <c r="C16" s="75" t="s">
        <v>128</v>
      </c>
      <c r="D16" s="75"/>
      <c r="E16" s="75"/>
      <c r="F16" s="75"/>
      <c r="G16" s="75" t="s">
        <v>65</v>
      </c>
      <c r="H16" s="76">
        <v>45724</v>
      </c>
      <c r="I16" s="75" t="s">
        <v>30</v>
      </c>
      <c r="J16" s="76"/>
      <c r="K16" s="76">
        <v>45736</v>
      </c>
      <c r="L16" s="75" t="s">
        <v>65</v>
      </c>
      <c r="M16" s="75"/>
      <c r="N16" s="76"/>
      <c r="O16" s="76"/>
      <c r="P16" s="75"/>
      <c r="Q16" s="75"/>
      <c r="R16" s="79"/>
      <c r="S16" s="80"/>
      <c r="T16" s="80"/>
      <c r="U16" s="81">
        <v>0</v>
      </c>
      <c r="V16" s="82"/>
      <c r="W16" s="75" t="s">
        <v>65</v>
      </c>
      <c r="X16" s="75" t="s">
        <v>336</v>
      </c>
    </row>
    <row r="17" spans="1:24">
      <c r="A17" s="83">
        <v>45717</v>
      </c>
      <c r="B17" s="84" t="s">
        <v>109</v>
      </c>
      <c r="C17" s="84" t="s">
        <v>134</v>
      </c>
      <c r="D17" s="84"/>
      <c r="E17" s="84"/>
      <c r="F17" s="84"/>
      <c r="G17" s="84" t="s">
        <v>65</v>
      </c>
      <c r="H17" s="85">
        <v>45730</v>
      </c>
      <c r="I17" s="84" t="s">
        <v>122</v>
      </c>
      <c r="J17" s="85"/>
      <c r="K17" s="85">
        <v>45745</v>
      </c>
      <c r="L17" s="84" t="s">
        <v>23</v>
      </c>
      <c r="M17" s="84"/>
      <c r="N17" s="85"/>
      <c r="O17" s="85"/>
      <c r="P17" s="84"/>
      <c r="Q17" s="84"/>
      <c r="R17" s="88"/>
      <c r="S17" s="89"/>
      <c r="T17" s="89"/>
      <c r="U17" s="90">
        <v>0</v>
      </c>
      <c r="V17" s="91"/>
      <c r="W17" s="84" t="s">
        <v>65</v>
      </c>
      <c r="X17" s="84" t="s">
        <v>337</v>
      </c>
    </row>
    <row r="18" spans="1:24">
      <c r="A18" s="74">
        <v>45717</v>
      </c>
      <c r="B18" s="75" t="s">
        <v>135</v>
      </c>
      <c r="C18" s="75" t="s">
        <v>136</v>
      </c>
      <c r="D18" s="75"/>
      <c r="E18" s="75"/>
      <c r="F18" s="75"/>
      <c r="G18" s="75" t="s">
        <v>65</v>
      </c>
      <c r="H18" s="76">
        <v>45733</v>
      </c>
      <c r="I18" s="75" t="s">
        <v>22</v>
      </c>
      <c r="J18" s="76">
        <v>45750</v>
      </c>
      <c r="K18" s="76"/>
      <c r="L18" s="75" t="s">
        <v>23</v>
      </c>
      <c r="M18" s="75" t="s">
        <v>137</v>
      </c>
      <c r="N18" s="76">
        <v>45751</v>
      </c>
      <c r="O18" s="76"/>
      <c r="P18" s="75" t="s">
        <v>55</v>
      </c>
      <c r="Q18" s="75" t="s">
        <v>36</v>
      </c>
      <c r="R18" s="79"/>
      <c r="S18" s="80">
        <v>4293.17</v>
      </c>
      <c r="T18" s="80">
        <v>6959.06</v>
      </c>
      <c r="U18" s="81">
        <v>0</v>
      </c>
      <c r="V18" s="82" t="s">
        <v>138</v>
      </c>
      <c r="W18" s="75" t="s">
        <v>65</v>
      </c>
      <c r="X18" s="75" t="s">
        <v>337</v>
      </c>
    </row>
    <row r="19" spans="1:24">
      <c r="A19" s="83">
        <v>45717</v>
      </c>
      <c r="B19" s="84" t="s">
        <v>124</v>
      </c>
      <c r="C19" s="84" t="s">
        <v>125</v>
      </c>
      <c r="D19" s="84"/>
      <c r="E19" s="84"/>
      <c r="F19" s="84"/>
      <c r="G19" s="84" t="s">
        <v>65</v>
      </c>
      <c r="H19" s="85">
        <v>45721</v>
      </c>
      <c r="I19" s="84"/>
      <c r="J19" s="85"/>
      <c r="K19" s="85">
        <v>45733</v>
      </c>
      <c r="L19" s="84" t="s">
        <v>65</v>
      </c>
      <c r="M19" s="84"/>
      <c r="N19" s="85"/>
      <c r="O19" s="85"/>
      <c r="P19" s="84"/>
      <c r="Q19" s="84"/>
      <c r="R19" s="88"/>
      <c r="S19" s="89"/>
      <c r="T19" s="89"/>
      <c r="U19" s="90">
        <v>0</v>
      </c>
      <c r="V19" s="91"/>
      <c r="W19" s="84" t="s">
        <v>65</v>
      </c>
      <c r="X19" s="84" t="s">
        <v>337</v>
      </c>
    </row>
    <row r="20" spans="1:24">
      <c r="A20" s="74">
        <v>45717</v>
      </c>
      <c r="B20" s="75" t="s">
        <v>133</v>
      </c>
      <c r="C20" s="75" t="s">
        <v>133</v>
      </c>
      <c r="D20" s="75"/>
      <c r="E20" s="75"/>
      <c r="F20" s="75"/>
      <c r="G20" s="75" t="s">
        <v>65</v>
      </c>
      <c r="H20" s="76">
        <v>45728</v>
      </c>
      <c r="I20" s="75" t="s">
        <v>30</v>
      </c>
      <c r="J20" s="76"/>
      <c r="K20" s="76">
        <v>45743</v>
      </c>
      <c r="L20" s="75" t="s">
        <v>65</v>
      </c>
      <c r="M20" s="75"/>
      <c r="N20" s="76"/>
      <c r="O20" s="76"/>
      <c r="P20" s="75"/>
      <c r="Q20" s="75"/>
      <c r="R20" s="79"/>
      <c r="S20" s="80"/>
      <c r="T20" s="80"/>
      <c r="U20" s="81">
        <v>0</v>
      </c>
      <c r="V20" s="82"/>
      <c r="W20" s="75" t="s">
        <v>65</v>
      </c>
      <c r="X20" s="75" t="s">
        <v>336</v>
      </c>
    </row>
    <row r="21" spans="1:24">
      <c r="A21" s="83">
        <v>45748</v>
      </c>
      <c r="B21" s="84" t="s">
        <v>173</v>
      </c>
      <c r="C21" s="84" t="s">
        <v>174</v>
      </c>
      <c r="D21" s="84"/>
      <c r="E21" s="84"/>
      <c r="F21" s="84"/>
      <c r="G21" s="84" t="s">
        <v>296</v>
      </c>
      <c r="H21" s="85">
        <v>45771</v>
      </c>
      <c r="I21" s="84" t="s">
        <v>82</v>
      </c>
      <c r="J21" s="85">
        <v>45772</v>
      </c>
      <c r="K21" s="85">
        <v>45772</v>
      </c>
      <c r="L21" s="84" t="s">
        <v>23</v>
      </c>
      <c r="M21" s="84" t="s">
        <v>175</v>
      </c>
      <c r="N21" s="85">
        <v>45772</v>
      </c>
      <c r="O21" s="85">
        <v>45772</v>
      </c>
      <c r="P21" s="84" t="s">
        <v>55</v>
      </c>
      <c r="Q21" s="84" t="s">
        <v>36</v>
      </c>
      <c r="R21" s="88"/>
      <c r="S21" s="89">
        <v>714.18299999999999</v>
      </c>
      <c r="T21" s="89">
        <v>57.84</v>
      </c>
      <c r="U21" s="90">
        <v>0</v>
      </c>
      <c r="V21" s="91"/>
      <c r="W21" s="84" t="s">
        <v>296</v>
      </c>
      <c r="X21" s="84" t="s">
        <v>336</v>
      </c>
    </row>
    <row r="22" spans="1:24">
      <c r="A22" s="74">
        <v>45748</v>
      </c>
      <c r="B22" s="75" t="s">
        <v>52</v>
      </c>
      <c r="C22" s="75" t="s">
        <v>166</v>
      </c>
      <c r="D22" s="75"/>
      <c r="E22" s="75"/>
      <c r="F22" s="75"/>
      <c r="G22" s="75" t="s">
        <v>65</v>
      </c>
      <c r="H22" s="76">
        <v>45763</v>
      </c>
      <c r="I22" s="75" t="s">
        <v>30</v>
      </c>
      <c r="J22" s="76">
        <v>45769</v>
      </c>
      <c r="K22" s="76">
        <v>45784</v>
      </c>
      <c r="L22" s="75" t="s">
        <v>23</v>
      </c>
      <c r="M22" s="75" t="s">
        <v>167</v>
      </c>
      <c r="N22" s="76">
        <v>45790</v>
      </c>
      <c r="O22" s="76">
        <v>45790</v>
      </c>
      <c r="P22" s="75" t="s">
        <v>41</v>
      </c>
      <c r="Q22" s="75" t="s">
        <v>42</v>
      </c>
      <c r="R22" s="79"/>
      <c r="S22" s="80">
        <v>35719.24</v>
      </c>
      <c r="T22" s="80">
        <v>3837.5</v>
      </c>
      <c r="U22" s="81">
        <v>0</v>
      </c>
      <c r="V22" s="82" t="s">
        <v>168</v>
      </c>
      <c r="W22" s="75" t="s">
        <v>65</v>
      </c>
      <c r="X22" s="75" t="s">
        <v>337</v>
      </c>
    </row>
    <row r="23" spans="1:24">
      <c r="A23" s="83">
        <v>45748</v>
      </c>
      <c r="B23" s="84" t="s">
        <v>158</v>
      </c>
      <c r="C23" s="84" t="s">
        <v>159</v>
      </c>
      <c r="D23" s="84"/>
      <c r="E23" s="84"/>
      <c r="F23" s="84"/>
      <c r="G23" s="84" t="s">
        <v>65</v>
      </c>
      <c r="H23" s="85">
        <v>45756</v>
      </c>
      <c r="I23" s="84" t="s">
        <v>160</v>
      </c>
      <c r="J23" s="85">
        <v>45758</v>
      </c>
      <c r="K23" s="85">
        <v>45764</v>
      </c>
      <c r="L23" s="84" t="s">
        <v>23</v>
      </c>
      <c r="M23" s="84" t="s">
        <v>161</v>
      </c>
      <c r="N23" s="85">
        <v>45764</v>
      </c>
      <c r="O23" s="85">
        <v>45764</v>
      </c>
      <c r="P23" s="84" t="s">
        <v>41</v>
      </c>
      <c r="Q23" s="84" t="s">
        <v>42</v>
      </c>
      <c r="R23" s="88"/>
      <c r="S23" s="89">
        <v>4697.9219999999996</v>
      </c>
      <c r="T23" s="89">
        <v>728.92</v>
      </c>
      <c r="U23" s="90">
        <v>0</v>
      </c>
      <c r="V23" s="91" t="s">
        <v>162</v>
      </c>
      <c r="W23" s="84" t="s">
        <v>65</v>
      </c>
      <c r="X23" s="84" t="s">
        <v>336</v>
      </c>
    </row>
    <row r="24" spans="1:24">
      <c r="A24" s="74">
        <v>45748</v>
      </c>
      <c r="B24" s="75" t="s">
        <v>158</v>
      </c>
      <c r="C24" s="75" t="s">
        <v>176</v>
      </c>
      <c r="D24" s="75"/>
      <c r="E24" s="75"/>
      <c r="F24" s="75"/>
      <c r="G24" s="75" t="s">
        <v>65</v>
      </c>
      <c r="H24" s="76">
        <v>45775</v>
      </c>
      <c r="I24" s="75" t="s">
        <v>160</v>
      </c>
      <c r="J24" s="76">
        <v>45775</v>
      </c>
      <c r="K24" s="76">
        <v>45776</v>
      </c>
      <c r="L24" s="75" t="s">
        <v>23</v>
      </c>
      <c r="M24" s="75" t="s">
        <v>177</v>
      </c>
      <c r="N24" s="76">
        <v>45776</v>
      </c>
      <c r="O24" s="76">
        <v>45776</v>
      </c>
      <c r="P24" s="75" t="s">
        <v>41</v>
      </c>
      <c r="Q24" s="75" t="s">
        <v>36</v>
      </c>
      <c r="R24" s="79"/>
      <c r="S24" s="80">
        <v>5804.232</v>
      </c>
      <c r="T24" s="80">
        <v>728.92</v>
      </c>
      <c r="U24" s="81">
        <v>0</v>
      </c>
      <c r="V24" s="82" t="s">
        <v>178</v>
      </c>
      <c r="W24" s="75" t="s">
        <v>65</v>
      </c>
      <c r="X24" s="75" t="s">
        <v>336</v>
      </c>
    </row>
    <row r="25" spans="1:24">
      <c r="A25" s="83">
        <v>45769</v>
      </c>
      <c r="B25" s="84" t="s">
        <v>200</v>
      </c>
      <c r="C25" s="84" t="s">
        <v>201</v>
      </c>
      <c r="D25" s="84"/>
      <c r="E25" s="84"/>
      <c r="F25" s="84"/>
      <c r="G25" s="84" t="s">
        <v>65</v>
      </c>
      <c r="H25" s="85">
        <v>45764</v>
      </c>
      <c r="I25" s="84" t="s">
        <v>82</v>
      </c>
      <c r="J25" s="85">
        <v>45769</v>
      </c>
      <c r="K25" s="85"/>
      <c r="L25" s="84" t="s">
        <v>23</v>
      </c>
      <c r="M25" s="84" t="s">
        <v>202</v>
      </c>
      <c r="N25" s="85">
        <v>45769</v>
      </c>
      <c r="O25" s="85">
        <v>45769</v>
      </c>
      <c r="P25" s="84" t="s">
        <v>55</v>
      </c>
      <c r="Q25" s="84" t="s">
        <v>42</v>
      </c>
      <c r="R25" s="88"/>
      <c r="S25" s="89">
        <v>6580.3379999999997</v>
      </c>
      <c r="T25" s="89">
        <v>743.41</v>
      </c>
      <c r="U25" s="90">
        <v>0</v>
      </c>
      <c r="V25" s="91" t="s">
        <v>203</v>
      </c>
      <c r="W25" s="84" t="s">
        <v>65</v>
      </c>
      <c r="X25" s="84" t="s">
        <v>337</v>
      </c>
    </row>
    <row r="26" spans="1:24">
      <c r="A26" s="74">
        <v>45769</v>
      </c>
      <c r="B26" s="75" t="s">
        <v>204</v>
      </c>
      <c r="C26" s="75" t="s">
        <v>205</v>
      </c>
      <c r="D26" s="75"/>
      <c r="E26" s="75"/>
      <c r="F26" s="75"/>
      <c r="G26" s="75" t="s">
        <v>65</v>
      </c>
      <c r="H26" s="76">
        <v>45769</v>
      </c>
      <c r="I26" s="75" t="s">
        <v>82</v>
      </c>
      <c r="J26" s="76">
        <v>45772</v>
      </c>
      <c r="K26" s="76"/>
      <c r="L26" s="75" t="s">
        <v>23</v>
      </c>
      <c r="M26" s="75" t="s">
        <v>206</v>
      </c>
      <c r="N26" s="76">
        <v>45772</v>
      </c>
      <c r="O26" s="76">
        <v>45772</v>
      </c>
      <c r="P26" s="75" t="s">
        <v>55</v>
      </c>
      <c r="Q26" s="75" t="s">
        <v>42</v>
      </c>
      <c r="R26" s="79"/>
      <c r="S26" s="80">
        <v>5332.1580000000004</v>
      </c>
      <c r="T26" s="80">
        <v>579.1</v>
      </c>
      <c r="U26" s="81">
        <v>0</v>
      </c>
      <c r="V26" s="82"/>
      <c r="W26" s="75" t="s">
        <v>65</v>
      </c>
      <c r="X26" s="75" t="s">
        <v>336</v>
      </c>
    </row>
    <row r="27" spans="1:24">
      <c r="A27" s="83">
        <v>45769</v>
      </c>
      <c r="B27" s="84" t="s">
        <v>197</v>
      </c>
      <c r="C27" s="84" t="s">
        <v>197</v>
      </c>
      <c r="D27" s="84"/>
      <c r="E27" s="84"/>
      <c r="F27" s="84"/>
      <c r="G27" s="84" t="s">
        <v>65</v>
      </c>
      <c r="H27" s="85">
        <v>45761</v>
      </c>
      <c r="I27" s="84" t="s">
        <v>82</v>
      </c>
      <c r="J27" s="85">
        <v>45762</v>
      </c>
      <c r="K27" s="85">
        <v>45792</v>
      </c>
      <c r="L27" s="84" t="s">
        <v>23</v>
      </c>
      <c r="M27" s="84" t="s">
        <v>198</v>
      </c>
      <c r="N27" s="85">
        <v>45762</v>
      </c>
      <c r="O27" s="85">
        <v>45762</v>
      </c>
      <c r="P27" s="84" t="s">
        <v>55</v>
      </c>
      <c r="Q27" s="84" t="s">
        <v>36</v>
      </c>
      <c r="R27" s="88"/>
      <c r="S27" s="89">
        <v>141.1</v>
      </c>
      <c r="T27" s="89">
        <v>12.54</v>
      </c>
      <c r="U27" s="90">
        <v>0</v>
      </c>
      <c r="V27" s="91" t="s">
        <v>199</v>
      </c>
      <c r="W27" s="84" t="s">
        <v>65</v>
      </c>
      <c r="X27" s="84" t="s">
        <v>336</v>
      </c>
    </row>
    <row r="28" spans="1:24">
      <c r="A28" s="74">
        <v>45769</v>
      </c>
      <c r="B28" s="75" t="s">
        <v>194</v>
      </c>
      <c r="C28" s="75" t="s">
        <v>194</v>
      </c>
      <c r="D28" s="75"/>
      <c r="E28" s="75"/>
      <c r="F28" s="75"/>
      <c r="G28" s="75" t="s">
        <v>65</v>
      </c>
      <c r="H28" s="76">
        <v>45754</v>
      </c>
      <c r="I28" s="75" t="s">
        <v>82</v>
      </c>
      <c r="J28" s="76">
        <v>45758</v>
      </c>
      <c r="K28" s="76">
        <v>45758</v>
      </c>
      <c r="L28" s="75" t="s">
        <v>23</v>
      </c>
      <c r="M28" s="75" t="s">
        <v>195</v>
      </c>
      <c r="N28" s="76">
        <v>45758</v>
      </c>
      <c r="O28" s="76">
        <v>45758</v>
      </c>
      <c r="P28" s="75" t="s">
        <v>55</v>
      </c>
      <c r="Q28" s="75" t="s">
        <v>42</v>
      </c>
      <c r="R28" s="79"/>
      <c r="S28" s="80">
        <v>350.7</v>
      </c>
      <c r="T28" s="80">
        <v>61.64</v>
      </c>
      <c r="U28" s="81">
        <v>0</v>
      </c>
      <c r="V28" s="82" t="s">
        <v>196</v>
      </c>
      <c r="W28" s="75" t="s">
        <v>65</v>
      </c>
      <c r="X28" s="75" t="s">
        <v>336</v>
      </c>
    </row>
    <row r="29" spans="1:24">
      <c r="A29" s="83">
        <v>45778</v>
      </c>
      <c r="B29" s="84" t="s">
        <v>207</v>
      </c>
      <c r="C29" s="84" t="s">
        <v>84</v>
      </c>
      <c r="D29" s="84"/>
      <c r="E29" s="84"/>
      <c r="F29" s="84"/>
      <c r="G29" s="84" t="s">
        <v>65</v>
      </c>
      <c r="H29" s="85">
        <v>45737</v>
      </c>
      <c r="I29" s="84" t="s">
        <v>122</v>
      </c>
      <c r="J29" s="85">
        <v>45737</v>
      </c>
      <c r="K29" s="85">
        <v>45802</v>
      </c>
      <c r="L29" s="84" t="s">
        <v>23</v>
      </c>
      <c r="M29" s="84" t="s">
        <v>208</v>
      </c>
      <c r="N29" s="85">
        <v>45741</v>
      </c>
      <c r="O29" s="85">
        <v>45802</v>
      </c>
      <c r="P29" s="84" t="s">
        <v>55</v>
      </c>
      <c r="Q29" s="84" t="s">
        <v>36</v>
      </c>
      <c r="R29" s="88"/>
      <c r="S29" s="89">
        <v>451.85</v>
      </c>
      <c r="T29" s="89">
        <v>53.85</v>
      </c>
      <c r="U29" s="90">
        <v>0</v>
      </c>
      <c r="V29" s="91"/>
      <c r="W29" s="84" t="s">
        <v>65</v>
      </c>
      <c r="X29" s="84" t="s">
        <v>336</v>
      </c>
    </row>
    <row r="30" spans="1:24">
      <c r="A30" s="74">
        <v>45779</v>
      </c>
      <c r="B30" s="75" t="s">
        <v>217</v>
      </c>
      <c r="C30" s="75" t="s">
        <v>218</v>
      </c>
      <c r="D30" s="75"/>
      <c r="E30" s="75"/>
      <c r="F30" s="75"/>
      <c r="G30" s="75" t="s">
        <v>296</v>
      </c>
      <c r="H30" s="76">
        <v>45798</v>
      </c>
      <c r="I30" s="75" t="s">
        <v>82</v>
      </c>
      <c r="J30" s="76">
        <v>45798</v>
      </c>
      <c r="K30" s="76">
        <v>45798</v>
      </c>
      <c r="L30" s="75" t="s">
        <v>23</v>
      </c>
      <c r="M30" s="75" t="s">
        <v>219</v>
      </c>
      <c r="N30" s="76">
        <v>45798</v>
      </c>
      <c r="O30" s="76"/>
      <c r="P30" s="75" t="s">
        <v>55</v>
      </c>
      <c r="Q30" s="75" t="s">
        <v>36</v>
      </c>
      <c r="R30" s="79"/>
      <c r="S30" s="80">
        <v>254.52</v>
      </c>
      <c r="T30" s="80">
        <v>120.8</v>
      </c>
      <c r="U30" s="81">
        <v>0</v>
      </c>
      <c r="V30" s="82"/>
      <c r="W30" s="75" t="s">
        <v>296</v>
      </c>
      <c r="X30" s="75" t="s">
        <v>338</v>
      </c>
    </row>
    <row r="31" spans="1:24">
      <c r="A31" s="83">
        <v>45782</v>
      </c>
      <c r="B31" s="84" t="s">
        <v>52</v>
      </c>
      <c r="C31" s="84" t="s">
        <v>223</v>
      </c>
      <c r="D31" s="84"/>
      <c r="E31" s="84"/>
      <c r="F31" s="84" t="s">
        <v>331</v>
      </c>
      <c r="G31" s="84" t="s">
        <v>65</v>
      </c>
      <c r="H31" s="85">
        <v>45799</v>
      </c>
      <c r="I31" s="84" t="s">
        <v>122</v>
      </c>
      <c r="J31" s="85">
        <v>45799</v>
      </c>
      <c r="K31" s="85"/>
      <c r="L31" s="84" t="s">
        <v>224</v>
      </c>
      <c r="M31" s="84"/>
      <c r="N31" s="85"/>
      <c r="O31" s="85"/>
      <c r="P31" s="84"/>
      <c r="Q31" s="84"/>
      <c r="R31" s="88"/>
      <c r="S31" s="89"/>
      <c r="T31" s="89"/>
      <c r="U31" s="90">
        <v>0</v>
      </c>
      <c r="V31" s="91"/>
      <c r="W31" s="84" t="s">
        <v>65</v>
      </c>
      <c r="X31" s="84" t="s">
        <v>337</v>
      </c>
    </row>
    <row r="32" spans="1:24">
      <c r="A32" s="74">
        <v>45783</v>
      </c>
      <c r="B32" s="75" t="s">
        <v>225</v>
      </c>
      <c r="C32" s="75" t="s">
        <v>226</v>
      </c>
      <c r="D32" s="75"/>
      <c r="E32" s="75"/>
      <c r="F32" s="75"/>
      <c r="G32" s="75" t="s">
        <v>65</v>
      </c>
      <c r="H32" s="76">
        <v>45803</v>
      </c>
      <c r="I32" s="75" t="s">
        <v>122</v>
      </c>
      <c r="J32" s="76">
        <v>45803</v>
      </c>
      <c r="K32" s="76" t="s">
        <v>227</v>
      </c>
      <c r="L32" s="75" t="s">
        <v>23</v>
      </c>
      <c r="M32" s="75" t="s">
        <v>228</v>
      </c>
      <c r="N32" s="76">
        <v>45804</v>
      </c>
      <c r="O32" s="76"/>
      <c r="P32" s="75" t="s">
        <v>55</v>
      </c>
      <c r="Q32" s="75" t="s">
        <v>36</v>
      </c>
      <c r="R32" s="79"/>
      <c r="S32" s="80">
        <v>561.25800000000004</v>
      </c>
      <c r="T32" s="80">
        <v>57.07</v>
      </c>
      <c r="U32" s="81">
        <v>0</v>
      </c>
      <c r="V32" s="82"/>
      <c r="W32" s="75" t="s">
        <v>65</v>
      </c>
      <c r="X32" s="75" t="s">
        <v>338</v>
      </c>
    </row>
    <row r="33" spans="1:24">
      <c r="A33" s="83">
        <v>45784</v>
      </c>
      <c r="B33" s="84" t="s">
        <v>225</v>
      </c>
      <c r="C33" s="84" t="s">
        <v>234</v>
      </c>
      <c r="D33" s="84"/>
      <c r="E33" s="84"/>
      <c r="F33" s="84"/>
      <c r="G33" s="84" t="s">
        <v>65</v>
      </c>
      <c r="H33" s="85">
        <v>45803</v>
      </c>
      <c r="I33" s="84" t="s">
        <v>122</v>
      </c>
      <c r="J33" s="85">
        <v>45803</v>
      </c>
      <c r="K33" s="85">
        <v>45804</v>
      </c>
      <c r="L33" s="84" t="s">
        <v>23</v>
      </c>
      <c r="M33" s="84" t="s">
        <v>235</v>
      </c>
      <c r="N33" s="85">
        <v>45804</v>
      </c>
      <c r="O33" s="85"/>
      <c r="P33" s="84" t="s">
        <v>55</v>
      </c>
      <c r="Q33" s="84" t="s">
        <v>36</v>
      </c>
      <c r="R33" s="88"/>
      <c r="S33" s="89">
        <v>580.88</v>
      </c>
      <c r="T33" s="89">
        <v>47.5</v>
      </c>
      <c r="U33" s="90">
        <v>0</v>
      </c>
      <c r="V33" s="91"/>
      <c r="W33" s="84" t="s">
        <v>65</v>
      </c>
      <c r="X33" s="84" t="s">
        <v>338</v>
      </c>
    </row>
    <row r="34" spans="1:24">
      <c r="A34" s="74">
        <v>45785</v>
      </c>
      <c r="B34" s="75" t="s">
        <v>236</v>
      </c>
      <c r="C34" s="75" t="s">
        <v>237</v>
      </c>
      <c r="D34" s="75"/>
      <c r="E34" s="75"/>
      <c r="F34" s="75" t="s">
        <v>331</v>
      </c>
      <c r="G34" s="75" t="s">
        <v>330</v>
      </c>
      <c r="H34" s="76">
        <v>45787</v>
      </c>
      <c r="I34" s="75" t="s">
        <v>30</v>
      </c>
      <c r="J34" s="76">
        <v>45789</v>
      </c>
      <c r="K34" s="76">
        <v>45790</v>
      </c>
      <c r="L34" s="75" t="s">
        <v>23</v>
      </c>
      <c r="M34" s="75" t="s">
        <v>238</v>
      </c>
      <c r="N34" s="76">
        <v>45790</v>
      </c>
      <c r="O34" s="76">
        <v>45790</v>
      </c>
      <c r="P34" s="75" t="s">
        <v>55</v>
      </c>
      <c r="Q34" s="75" t="s">
        <v>232</v>
      </c>
      <c r="R34" s="79"/>
      <c r="S34" s="80"/>
      <c r="T34" s="80"/>
      <c r="U34" s="81">
        <v>0</v>
      </c>
      <c r="V34" s="82"/>
      <c r="W34" s="75" t="s">
        <v>277</v>
      </c>
      <c r="X34" s="75"/>
    </row>
    <row r="35" spans="1:24">
      <c r="A35" s="83">
        <v>45787</v>
      </c>
      <c r="B35" s="84" t="s">
        <v>245</v>
      </c>
      <c r="C35" s="84" t="s">
        <v>246</v>
      </c>
      <c r="D35" s="84"/>
      <c r="E35" s="84"/>
      <c r="F35" s="84"/>
      <c r="G35" s="84" t="s">
        <v>65</v>
      </c>
      <c r="H35" s="85">
        <v>45805</v>
      </c>
      <c r="I35" s="84" t="s">
        <v>82</v>
      </c>
      <c r="J35" s="85">
        <v>45804</v>
      </c>
      <c r="K35" s="85"/>
      <c r="L35" s="84" t="s">
        <v>23</v>
      </c>
      <c r="M35" s="84" t="s">
        <v>247</v>
      </c>
      <c r="N35" s="85">
        <v>45805</v>
      </c>
      <c r="O35" s="85"/>
      <c r="P35" s="84" t="s">
        <v>55</v>
      </c>
      <c r="Q35" s="84" t="s">
        <v>36</v>
      </c>
      <c r="R35" s="88"/>
      <c r="S35" s="89">
        <v>391.32</v>
      </c>
      <c r="T35" s="89">
        <v>190.19</v>
      </c>
      <c r="U35" s="90">
        <v>0</v>
      </c>
      <c r="V35" s="91"/>
      <c r="W35" s="84" t="s">
        <v>65</v>
      </c>
      <c r="X35" s="84" t="s">
        <v>336</v>
      </c>
    </row>
    <row r="36" spans="1:24">
      <c r="A36" s="74">
        <v>45809</v>
      </c>
      <c r="B36" s="75" t="s">
        <v>86</v>
      </c>
      <c r="C36" s="75" t="s">
        <v>252</v>
      </c>
      <c r="D36" s="92" t="s">
        <v>318</v>
      </c>
      <c r="E36" s="75"/>
      <c r="F36" s="75" t="s">
        <v>332</v>
      </c>
      <c r="G36" s="75" t="s">
        <v>330</v>
      </c>
      <c r="H36" s="76">
        <v>45831</v>
      </c>
      <c r="I36" s="75" t="s">
        <v>30</v>
      </c>
      <c r="J36" s="76">
        <v>45835</v>
      </c>
      <c r="K36" s="76"/>
      <c r="L36" s="75" t="s">
        <v>23</v>
      </c>
      <c r="M36" s="75" t="s">
        <v>253</v>
      </c>
      <c r="N36" s="76">
        <v>45838</v>
      </c>
      <c r="O36" s="76">
        <v>45838</v>
      </c>
      <c r="P36" s="75" t="s">
        <v>41</v>
      </c>
      <c r="Q36" s="75" t="s">
        <v>42</v>
      </c>
      <c r="R36" s="79"/>
      <c r="S36" s="80">
        <v>33494.235999999997</v>
      </c>
      <c r="T36" s="80">
        <v>3856.71</v>
      </c>
      <c r="U36" s="81">
        <v>1</v>
      </c>
      <c r="V36" s="82" t="s">
        <v>254</v>
      </c>
      <c r="W36" s="75" t="s">
        <v>277</v>
      </c>
      <c r="X36" s="75" t="s">
        <v>337</v>
      </c>
    </row>
    <row r="37" spans="1:24">
      <c r="A37" s="83">
        <v>45809</v>
      </c>
      <c r="B37" s="84" t="s">
        <v>248</v>
      </c>
      <c r="C37" s="84" t="s">
        <v>249</v>
      </c>
      <c r="D37" s="93" t="s">
        <v>317</v>
      </c>
      <c r="E37" s="84"/>
      <c r="F37" s="84" t="s">
        <v>332</v>
      </c>
      <c r="G37" s="84" t="s">
        <v>330</v>
      </c>
      <c r="H37" s="85">
        <v>45813</v>
      </c>
      <c r="I37" s="84" t="s">
        <v>30</v>
      </c>
      <c r="J37" s="85">
        <v>45838</v>
      </c>
      <c r="K37" s="85"/>
      <c r="L37" s="84" t="s">
        <v>23</v>
      </c>
      <c r="M37" s="84" t="s">
        <v>250</v>
      </c>
      <c r="N37" s="85">
        <v>45842</v>
      </c>
      <c r="O37" s="85"/>
      <c r="P37" s="84" t="s">
        <v>41</v>
      </c>
      <c r="Q37" s="84" t="s">
        <v>42</v>
      </c>
      <c r="R37" s="88"/>
      <c r="S37" s="89">
        <v>7945.0140000000001</v>
      </c>
      <c r="T37" s="89">
        <v>1051.54</v>
      </c>
      <c r="U37" s="90">
        <v>0</v>
      </c>
      <c r="V37" s="91"/>
      <c r="W37" s="84" t="s">
        <v>277</v>
      </c>
      <c r="X37" s="84" t="s">
        <v>337</v>
      </c>
    </row>
    <row r="38" spans="1:24">
      <c r="A38" s="74">
        <v>45809</v>
      </c>
      <c r="B38" s="75" t="s">
        <v>52</v>
      </c>
      <c r="C38" s="75" t="s">
        <v>251</v>
      </c>
      <c r="D38" s="75"/>
      <c r="E38" s="75"/>
      <c r="F38" s="75"/>
      <c r="G38" s="75" t="s">
        <v>65</v>
      </c>
      <c r="H38" s="76">
        <v>45826</v>
      </c>
      <c r="I38" s="75" t="s">
        <v>30</v>
      </c>
      <c r="J38" s="76">
        <v>45831</v>
      </c>
      <c r="K38" s="76"/>
      <c r="L38" s="75" t="s">
        <v>23</v>
      </c>
      <c r="M38" s="75" t="s">
        <v>167</v>
      </c>
      <c r="N38" s="76"/>
      <c r="O38" s="76"/>
      <c r="P38" s="75" t="s">
        <v>41</v>
      </c>
      <c r="Q38" s="75" t="s">
        <v>42</v>
      </c>
      <c r="R38" s="79"/>
      <c r="S38" s="80"/>
      <c r="T38" s="80"/>
      <c r="U38" s="81">
        <v>0</v>
      </c>
      <c r="V38" s="82"/>
      <c r="W38" s="75" t="s">
        <v>65</v>
      </c>
      <c r="X38" s="75" t="s">
        <v>337</v>
      </c>
    </row>
    <row r="39" spans="1:24">
      <c r="A39" s="60">
        <v>45812</v>
      </c>
      <c r="B39" s="61" t="s">
        <v>248</v>
      </c>
      <c r="C39" s="61" t="s">
        <v>259</v>
      </c>
      <c r="D39" s="62" t="s">
        <v>317</v>
      </c>
      <c r="E39" s="61"/>
      <c r="F39" s="61" t="s">
        <v>332</v>
      </c>
      <c r="G39" s="61" t="s">
        <v>330</v>
      </c>
      <c r="H39" s="85">
        <v>45813</v>
      </c>
      <c r="I39" s="84" t="s">
        <v>30</v>
      </c>
      <c r="J39" s="85"/>
      <c r="K39" s="85"/>
      <c r="L39" s="84" t="s">
        <v>23</v>
      </c>
      <c r="M39" s="84" t="s">
        <v>260</v>
      </c>
      <c r="N39" s="85"/>
      <c r="O39" s="85"/>
      <c r="P39" s="84"/>
      <c r="Q39" s="84"/>
      <c r="R39" s="88"/>
      <c r="S39" s="89"/>
      <c r="T39" s="89"/>
      <c r="U39" s="90">
        <v>0</v>
      </c>
      <c r="V39" s="91" t="s">
        <v>172</v>
      </c>
      <c r="W39" s="84" t="s">
        <v>277</v>
      </c>
      <c r="X39" s="84" t="s">
        <v>337</v>
      </c>
    </row>
    <row r="40" spans="1:24">
      <c r="A40" s="74">
        <v>45839</v>
      </c>
      <c r="B40" s="75" t="s">
        <v>266</v>
      </c>
      <c r="C40" s="75" t="s">
        <v>267</v>
      </c>
      <c r="D40" s="75"/>
      <c r="E40" s="75"/>
      <c r="F40" s="75"/>
      <c r="G40" s="75" t="s">
        <v>65</v>
      </c>
      <c r="H40" s="76">
        <v>45860</v>
      </c>
      <c r="I40" s="75" t="s">
        <v>30</v>
      </c>
      <c r="J40" s="76"/>
      <c r="K40" s="76"/>
      <c r="L40" s="75" t="s">
        <v>65</v>
      </c>
      <c r="M40" s="75"/>
      <c r="N40" s="76"/>
      <c r="O40" s="76"/>
      <c r="P40" s="75"/>
      <c r="Q40" s="75"/>
      <c r="R40" s="79"/>
      <c r="S40" s="80"/>
      <c r="T40" s="80"/>
      <c r="U40" s="81">
        <v>0</v>
      </c>
      <c r="V40" s="82"/>
      <c r="W40" s="75" t="s">
        <v>65</v>
      </c>
      <c r="X40" s="75" t="s">
        <v>337</v>
      </c>
    </row>
    <row r="41" spans="1:24">
      <c r="A41" s="83">
        <v>45839</v>
      </c>
      <c r="B41" s="84" t="s">
        <v>273</v>
      </c>
      <c r="C41" s="84" t="s">
        <v>274</v>
      </c>
      <c r="D41" s="93" t="s">
        <v>324</v>
      </c>
      <c r="E41" s="84" t="s">
        <v>323</v>
      </c>
      <c r="F41" s="84" t="s">
        <v>332</v>
      </c>
      <c r="G41" s="84" t="s">
        <v>330</v>
      </c>
      <c r="H41" s="85">
        <v>45862</v>
      </c>
      <c r="I41" s="84" t="s">
        <v>30</v>
      </c>
      <c r="J41" s="85">
        <v>45868</v>
      </c>
      <c r="K41" s="85"/>
      <c r="L41" s="84" t="s">
        <v>23</v>
      </c>
      <c r="M41" s="84" t="s">
        <v>275</v>
      </c>
      <c r="N41" s="85"/>
      <c r="O41" s="85"/>
      <c r="P41" s="84" t="s">
        <v>41</v>
      </c>
      <c r="Q41" s="84" t="s">
        <v>42</v>
      </c>
      <c r="R41" s="94"/>
      <c r="S41" s="89"/>
      <c r="T41" s="89"/>
      <c r="U41" s="90">
        <v>0</v>
      </c>
      <c r="V41" s="91"/>
      <c r="W41" s="84" t="s">
        <v>277</v>
      </c>
      <c r="X41" s="84" t="s">
        <v>337</v>
      </c>
    </row>
    <row r="42" spans="1:24">
      <c r="A42" s="74">
        <v>45839</v>
      </c>
      <c r="B42" s="75" t="s">
        <v>57</v>
      </c>
      <c r="C42" s="75" t="s">
        <v>264</v>
      </c>
      <c r="D42" s="75"/>
      <c r="E42" s="75"/>
      <c r="F42" s="75" t="s">
        <v>332</v>
      </c>
      <c r="G42" s="75" t="s">
        <v>330</v>
      </c>
      <c r="H42" s="76">
        <v>45859</v>
      </c>
      <c r="I42" s="75" t="s">
        <v>122</v>
      </c>
      <c r="J42" s="76">
        <v>45859</v>
      </c>
      <c r="K42" s="76">
        <v>45879</v>
      </c>
      <c r="L42" s="75" t="s">
        <v>23</v>
      </c>
      <c r="M42" s="75"/>
      <c r="N42" s="76"/>
      <c r="O42" s="76"/>
      <c r="P42" s="75" t="s">
        <v>55</v>
      </c>
      <c r="Q42" s="75"/>
      <c r="R42" s="79"/>
      <c r="S42" s="80"/>
      <c r="T42" s="80"/>
      <c r="U42" s="81">
        <v>0</v>
      </c>
      <c r="V42" s="82" t="s">
        <v>265</v>
      </c>
      <c r="W42" s="75" t="s">
        <v>277</v>
      </c>
      <c r="X42" s="75" t="s">
        <v>337</v>
      </c>
    </row>
    <row r="43" spans="1:24">
      <c r="A43" s="83">
        <v>45870</v>
      </c>
      <c r="B43" s="84" t="s">
        <v>339</v>
      </c>
      <c r="C43" s="84" t="s">
        <v>340</v>
      </c>
      <c r="D43" s="84"/>
      <c r="E43" s="84"/>
      <c r="F43" s="84"/>
      <c r="G43" s="84" t="s">
        <v>330</v>
      </c>
      <c r="H43" s="85">
        <v>45882</v>
      </c>
      <c r="I43" s="84" t="s">
        <v>30</v>
      </c>
      <c r="J43" s="85"/>
      <c r="K43" s="85"/>
      <c r="L43" s="84" t="s">
        <v>277</v>
      </c>
      <c r="M43" s="84"/>
      <c r="N43" s="85"/>
      <c r="O43" s="85"/>
      <c r="P43" s="84"/>
      <c r="Q43" s="84"/>
      <c r="R43" s="88"/>
      <c r="S43" s="89"/>
      <c r="T43" s="89"/>
      <c r="U43" s="90"/>
      <c r="V43" s="91"/>
      <c r="W43" s="84" t="s">
        <v>277</v>
      </c>
      <c r="X43" s="84"/>
    </row>
    <row r="44" spans="1:24" ht="15.6">
      <c r="A44" s="95">
        <v>45871</v>
      </c>
      <c r="B44" s="75" t="s">
        <v>341</v>
      </c>
      <c r="C44" s="75" t="s">
        <v>345</v>
      </c>
      <c r="D44" s="75"/>
      <c r="E44" s="75"/>
      <c r="F44" s="75"/>
      <c r="G44" s="75" t="s">
        <v>330</v>
      </c>
      <c r="H44" s="96">
        <v>45888</v>
      </c>
      <c r="I44" s="75"/>
      <c r="J44" s="76"/>
      <c r="K44" s="76"/>
      <c r="L44" s="75"/>
      <c r="M44" s="75"/>
      <c r="N44" s="76"/>
      <c r="O44" s="76"/>
      <c r="P44" s="75"/>
      <c r="Q44" s="75"/>
      <c r="R44" s="79"/>
      <c r="S44" s="80"/>
      <c r="T44" s="80"/>
      <c r="U44" s="81">
        <v>0</v>
      </c>
      <c r="V44" s="82"/>
      <c r="W44" s="75" t="s">
        <v>277</v>
      </c>
      <c r="X44" s="75"/>
    </row>
    <row r="45" spans="1:24">
      <c r="A45" s="83">
        <v>45872</v>
      </c>
      <c r="B45" s="87" t="s">
        <v>344</v>
      </c>
      <c r="C45" s="84" t="s">
        <v>346</v>
      </c>
      <c r="D45" s="84"/>
      <c r="E45" s="84"/>
      <c r="F45" s="84" t="s">
        <v>332</v>
      </c>
      <c r="G45" s="97" t="s">
        <v>330</v>
      </c>
      <c r="H45" s="85">
        <v>45897</v>
      </c>
      <c r="I45" s="84" t="s">
        <v>30</v>
      </c>
      <c r="J45" s="85">
        <v>45871</v>
      </c>
      <c r="K45" s="85"/>
      <c r="L45" s="84" t="s">
        <v>23</v>
      </c>
      <c r="M45" s="98" t="s">
        <v>352</v>
      </c>
      <c r="N45" s="85">
        <v>45871</v>
      </c>
      <c r="O45" s="85">
        <v>45871</v>
      </c>
      <c r="P45" s="84" t="s">
        <v>41</v>
      </c>
      <c r="Q45" s="84" t="s">
        <v>36</v>
      </c>
      <c r="R45" s="88"/>
      <c r="S45" s="89">
        <v>223.20599999999999</v>
      </c>
      <c r="T45" s="89">
        <v>20.57</v>
      </c>
      <c r="U45" s="90">
        <v>2</v>
      </c>
      <c r="V45" s="91"/>
      <c r="W45" s="84" t="s">
        <v>277</v>
      </c>
      <c r="X45" s="84"/>
    </row>
    <row r="46" spans="1:24">
      <c r="A46" s="74">
        <v>45873</v>
      </c>
      <c r="B46" s="78" t="s">
        <v>343</v>
      </c>
      <c r="C46" s="75" t="s">
        <v>347</v>
      </c>
      <c r="D46" s="75"/>
      <c r="E46" s="75"/>
      <c r="F46" s="75"/>
      <c r="G46" s="99" t="s">
        <v>296</v>
      </c>
      <c r="H46" s="76">
        <v>45887</v>
      </c>
      <c r="I46" s="75" t="s">
        <v>353</v>
      </c>
      <c r="J46" s="76">
        <v>45895</v>
      </c>
      <c r="K46" s="76"/>
      <c r="L46" s="75" t="s">
        <v>23</v>
      </c>
      <c r="M46" s="100" t="s">
        <v>354</v>
      </c>
      <c r="N46" s="76">
        <v>45896</v>
      </c>
      <c r="O46" s="76">
        <v>45897</v>
      </c>
      <c r="P46" s="75" t="s">
        <v>355</v>
      </c>
      <c r="Q46" s="75" t="s">
        <v>36</v>
      </c>
      <c r="R46" s="79"/>
      <c r="S46" s="80">
        <v>198.792</v>
      </c>
      <c r="T46" s="80">
        <v>18.95</v>
      </c>
      <c r="U46" s="81">
        <v>0</v>
      </c>
      <c r="V46" s="82"/>
      <c r="W46" s="75" t="s">
        <v>296</v>
      </c>
      <c r="X46" s="75" t="s">
        <v>337</v>
      </c>
    </row>
    <row r="47" spans="1:24">
      <c r="A47" s="83">
        <v>45874</v>
      </c>
      <c r="B47" s="87" t="s">
        <v>174</v>
      </c>
      <c r="C47" s="84" t="s">
        <v>348</v>
      </c>
      <c r="D47" s="84"/>
      <c r="E47" s="84"/>
      <c r="F47" s="84"/>
      <c r="G47" s="84" t="s">
        <v>296</v>
      </c>
      <c r="H47" s="85">
        <v>45895</v>
      </c>
      <c r="I47" s="84" t="s">
        <v>82</v>
      </c>
      <c r="J47" s="85">
        <v>45895</v>
      </c>
      <c r="K47" s="85"/>
      <c r="L47" s="84" t="s">
        <v>23</v>
      </c>
      <c r="M47" s="98" t="s">
        <v>356</v>
      </c>
      <c r="N47" s="85">
        <v>45895</v>
      </c>
      <c r="O47" s="85">
        <v>45896</v>
      </c>
      <c r="P47" s="84" t="s">
        <v>41</v>
      </c>
      <c r="Q47" s="84" t="s">
        <v>36</v>
      </c>
      <c r="R47" s="88"/>
      <c r="S47" s="89">
        <v>152.71799999999999</v>
      </c>
      <c r="T47" s="89">
        <v>17</v>
      </c>
      <c r="U47" s="90">
        <v>0</v>
      </c>
      <c r="V47" s="91"/>
      <c r="W47" s="84" t="s">
        <v>296</v>
      </c>
      <c r="X47" s="84"/>
    </row>
    <row r="48" spans="1:24" ht="15.6">
      <c r="A48" s="74">
        <v>45876</v>
      </c>
      <c r="B48" s="75" t="s">
        <v>342</v>
      </c>
      <c r="C48" s="75" t="s">
        <v>350</v>
      </c>
      <c r="D48" s="75"/>
      <c r="E48" s="75"/>
      <c r="F48" s="75"/>
      <c r="G48" s="75" t="s">
        <v>65</v>
      </c>
      <c r="H48" s="76">
        <v>45894</v>
      </c>
      <c r="I48" s="75" t="s">
        <v>30</v>
      </c>
      <c r="J48" s="76"/>
      <c r="K48" s="76"/>
      <c r="L48" s="75" t="s">
        <v>23</v>
      </c>
      <c r="M48" s="101" t="s">
        <v>357</v>
      </c>
      <c r="N48" s="76">
        <v>45896</v>
      </c>
      <c r="O48" s="76">
        <v>45897</v>
      </c>
      <c r="P48" s="75" t="s">
        <v>41</v>
      </c>
      <c r="Q48" s="75" t="s">
        <v>42</v>
      </c>
      <c r="R48" s="79"/>
      <c r="S48" s="80">
        <v>260.12400000000002</v>
      </c>
      <c r="T48" s="80">
        <v>27.36</v>
      </c>
      <c r="U48" s="81">
        <v>0</v>
      </c>
      <c r="V48" s="82"/>
      <c r="W48" s="75" t="s">
        <v>65</v>
      </c>
      <c r="X48" s="75"/>
    </row>
    <row r="49" spans="1:24" ht="15.6">
      <c r="A49" s="83">
        <v>45877</v>
      </c>
      <c r="B49" s="84" t="s">
        <v>342</v>
      </c>
      <c r="C49" s="84" t="s">
        <v>351</v>
      </c>
      <c r="D49" s="84"/>
      <c r="E49" s="84"/>
      <c r="F49" s="84"/>
      <c r="G49" s="97" t="s">
        <v>65</v>
      </c>
      <c r="H49" s="85">
        <v>45895</v>
      </c>
      <c r="I49" s="84" t="s">
        <v>30</v>
      </c>
      <c r="J49" s="85">
        <v>45870</v>
      </c>
      <c r="K49" s="85"/>
      <c r="L49" s="84" t="s">
        <v>23</v>
      </c>
      <c r="M49" s="102" t="s">
        <v>358</v>
      </c>
      <c r="N49" s="85">
        <v>45871</v>
      </c>
      <c r="O49" s="85">
        <v>45871</v>
      </c>
      <c r="P49" s="84" t="s">
        <v>41</v>
      </c>
      <c r="Q49" s="84" t="s">
        <v>36</v>
      </c>
      <c r="R49" s="88"/>
      <c r="S49" s="89">
        <v>253.506</v>
      </c>
      <c r="T49" s="89">
        <v>27.36</v>
      </c>
      <c r="U49" s="90">
        <v>0</v>
      </c>
      <c r="V49" s="91"/>
      <c r="W49" s="84" t="s">
        <v>65</v>
      </c>
      <c r="X49" s="84"/>
    </row>
    <row r="50" spans="1:24">
      <c r="A50" s="74">
        <v>45870</v>
      </c>
      <c r="B50" s="99" t="s">
        <v>342</v>
      </c>
      <c r="C50" s="99" t="s">
        <v>361</v>
      </c>
      <c r="D50" s="99"/>
      <c r="E50" s="99"/>
      <c r="F50" s="99"/>
      <c r="G50" s="99" t="s">
        <v>65</v>
      </c>
      <c r="H50" s="103">
        <v>45908</v>
      </c>
      <c r="I50" s="99" t="s">
        <v>30</v>
      </c>
      <c r="J50" s="103"/>
      <c r="K50" s="103"/>
      <c r="L50" s="99" t="s">
        <v>277</v>
      </c>
      <c r="M50" s="99"/>
      <c r="N50" s="103"/>
      <c r="O50" s="103"/>
      <c r="P50" s="99"/>
      <c r="Q50" s="99"/>
      <c r="R50" s="104"/>
      <c r="S50" s="105"/>
      <c r="T50" s="105"/>
      <c r="U50" s="106"/>
      <c r="V50" s="107"/>
      <c r="W50" s="99" t="s">
        <v>65</v>
      </c>
      <c r="X50" s="99"/>
    </row>
    <row r="51" spans="1:24">
      <c r="A51" s="83">
        <v>45870</v>
      </c>
      <c r="B51" s="84" t="s">
        <v>344</v>
      </c>
      <c r="C51" s="84" t="s">
        <v>362</v>
      </c>
      <c r="D51" s="84"/>
      <c r="E51" s="84"/>
      <c r="F51" s="84"/>
      <c r="G51" s="84" t="s">
        <v>65</v>
      </c>
      <c r="H51" s="85">
        <v>45909</v>
      </c>
      <c r="I51" s="84" t="s">
        <v>30</v>
      </c>
      <c r="J51" s="85"/>
      <c r="K51" s="85"/>
      <c r="L51" s="84" t="s">
        <v>277</v>
      </c>
      <c r="M51" s="84"/>
      <c r="N51" s="85"/>
      <c r="O51" s="85"/>
      <c r="P51" s="84"/>
      <c r="Q51" s="84"/>
      <c r="R51" s="88"/>
      <c r="S51" s="89"/>
      <c r="T51" s="89"/>
      <c r="U51" s="90"/>
      <c r="V51" s="91"/>
      <c r="W51" s="84" t="s">
        <v>65</v>
      </c>
      <c r="X51" s="84"/>
    </row>
  </sheetData>
  <hyperlinks>
    <hyperlink ref="D37" r:id="rId1" xr:uid="{918B5F56-C02C-4F25-A91A-A645AD617AA1}"/>
    <hyperlink ref="D36" r:id="rId2" xr:uid="{BC06B209-7470-4DDF-8FA6-68DD1CB13BAF}"/>
    <hyperlink ref="D39" r:id="rId3" xr:uid="{7ACD46B3-C6D4-4BF9-AF74-6764BC34682E}"/>
    <hyperlink ref="D41" r:id="rId4" xr:uid="{928352AC-53E3-45A5-9561-8A1FAB297792}"/>
  </hyperlink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8048CA-5B18-4563-A503-04E302B76C5B}">
          <x14:formula1>
            <xm:f>'Menu Suspenso'!$F$2:$F$6</xm:f>
          </x14:formula1>
          <xm:sqref>L2:L51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8406-0E54-4788-84AA-7C390F9D8221}">
  <sheetPr codeName="Planilha2"/>
  <dimension ref="A1:H4"/>
  <sheetViews>
    <sheetView workbookViewId="0">
      <selection activeCell="H4" sqref="H4"/>
    </sheetView>
  </sheetViews>
  <sheetFormatPr defaultRowHeight="14.4"/>
  <cols>
    <col min="1" max="1" width="17" customWidth="1"/>
    <col min="2" max="2" width="30" bestFit="1" customWidth="1"/>
    <col min="3" max="3" width="15.33203125" bestFit="1" customWidth="1"/>
    <col min="6" max="6" width="15.33203125" bestFit="1" customWidth="1"/>
    <col min="8" max="8" width="16.6640625" bestFit="1" customWidth="1"/>
  </cols>
  <sheetData>
    <row r="1" spans="1:8">
      <c r="A1" s="16" t="s">
        <v>289</v>
      </c>
      <c r="B1" s="16" t="s">
        <v>290</v>
      </c>
      <c r="F1" s="17" t="s">
        <v>288</v>
      </c>
      <c r="H1" s="17" t="s">
        <v>295</v>
      </c>
    </row>
    <row r="2" spans="1:8">
      <c r="A2" s="15" t="s">
        <v>291</v>
      </c>
      <c r="B2" s="15" t="s">
        <v>292</v>
      </c>
      <c r="F2" s="1" t="s">
        <v>23</v>
      </c>
      <c r="H2" s="1" t="s">
        <v>296</v>
      </c>
    </row>
    <row r="3" spans="1:8">
      <c r="A3" s="15" t="s">
        <v>301</v>
      </c>
      <c r="B3" s="15" t="s">
        <v>287</v>
      </c>
      <c r="F3" s="1" t="s">
        <v>277</v>
      </c>
      <c r="H3" s="1" t="s">
        <v>277</v>
      </c>
    </row>
    <row r="4" spans="1:8">
      <c r="F4" s="1" t="s">
        <v>65</v>
      </c>
      <c r="H4" s="1" t="s">
        <v>65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2E4B14-ED90-47AA-B572-092BADEBC4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Orçamento</vt:lpstr>
      <vt:lpstr>Planilha1</vt:lpstr>
      <vt:lpstr>Menu Suspenso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Alubrasa Aluminios</cp:lastModifiedBy>
  <dcterms:created xsi:type="dcterms:W3CDTF">2025-08-06T17:51:04Z</dcterms:created>
  <dcterms:modified xsi:type="dcterms:W3CDTF">2025-09-23T19:55:53Z</dcterms:modified>
</cp:coreProperties>
</file>